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8e1568ec6abaf2/Documenten/financial/"/>
    </mc:Choice>
  </mc:AlternateContent>
  <xr:revisionPtr revIDLastSave="670" documentId="13_ncr:1_{07EA0F57-9031-4CB0-98D9-639B7C79D6E8}" xr6:coauthVersionLast="47" xr6:coauthVersionMax="47" xr10:uidLastSave="{5F49E4D7-F2DF-4791-9F71-3A936C2BB627}"/>
  <bookViews>
    <workbookView xWindow="28680" yWindow="-120" windowWidth="29040" windowHeight="15720" firstSheet="4" activeTab="8" xr2:uid="{2BA0AA5C-93D2-488F-BC79-9F75ECC2DE00}"/>
  </bookViews>
  <sheets>
    <sheet name="Sal-div" sheetId="6" r:id="rId1"/>
    <sheet name="Rente tabel hypotheek" sheetId="3" r:id="rId2"/>
    <sheet name="Stroom en Gas" sheetId="12" r:id="rId3"/>
    <sheet name="Loonstijging 2021-2030" sheetId="4" r:id="rId4"/>
    <sheet name="Grafieken" sheetId="5" r:id="rId5"/>
    <sheet name="extra hypotheek" sheetId="10" r:id="rId6"/>
    <sheet name="Basistabel hoger loon" sheetId="13" r:id="rId7"/>
    <sheet name="Grafiek1" sheetId="16" r:id="rId8"/>
    <sheet name="Basistabel" sheetId="2" r:id="rId9"/>
    <sheet name="Zonneplan berekeningen" sheetId="15" r:id="rId10"/>
    <sheet name="Offertes" sheetId="14" r:id="rId11"/>
    <sheet name="januari" sheetId="8" r:id="rId12"/>
    <sheet name="Februari" sheetId="9" r:id="rId13"/>
    <sheet name="Maart" sheetId="11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2" l="1"/>
  <c r="N19" i="14"/>
  <c r="L19" i="14"/>
  <c r="M19" i="14"/>
  <c r="B59" i="14"/>
  <c r="B57" i="14"/>
  <c r="B53" i="14"/>
  <c r="B51" i="14"/>
  <c r="B50" i="14"/>
  <c r="K17" i="2"/>
  <c r="K3" i="2"/>
  <c r="L29" i="14"/>
  <c r="J18" i="2"/>
  <c r="C44" i="14"/>
  <c r="C42" i="14"/>
  <c r="C39" i="14"/>
  <c r="C38" i="14"/>
  <c r="J3" i="2"/>
  <c r="J17" i="2"/>
  <c r="M25" i="14"/>
  <c r="M12" i="14"/>
  <c r="L35" i="14"/>
  <c r="M17" i="14"/>
  <c r="M15" i="14"/>
  <c r="M22" i="14"/>
  <c r="M23" i="14"/>
  <c r="M24" i="14"/>
  <c r="M10" i="14"/>
  <c r="M9" i="14"/>
  <c r="L25" i="14"/>
  <c r="M11" i="14"/>
  <c r="M16" i="14"/>
  <c r="L12" i="14"/>
  <c r="L37" i="14"/>
  <c r="E19" i="14"/>
  <c r="F19" i="14" s="1"/>
  <c r="J3" i="11"/>
  <c r="J22" i="11" s="1"/>
  <c r="K4" i="14"/>
  <c r="K3" i="14"/>
  <c r="G9" i="14"/>
  <c r="K2" i="14"/>
  <c r="K6" i="14" s="1"/>
  <c r="B36" i="14"/>
  <c r="B35" i="14"/>
  <c r="D13" i="14"/>
  <c r="B32" i="14"/>
  <c r="B22" i="14"/>
  <c r="B21" i="14"/>
  <c r="B20" i="14"/>
  <c r="B19" i="14"/>
  <c r="B18" i="14"/>
  <c r="B17" i="14"/>
  <c r="B22" i="15"/>
  <c r="C7" i="15"/>
  <c r="B7" i="15"/>
  <c r="B13" i="15"/>
  <c r="O25" i="13"/>
  <c r="O26" i="13"/>
  <c r="O29" i="13"/>
  <c r="O28" i="13"/>
  <c r="O27" i="13"/>
  <c r="Q26" i="13"/>
  <c r="M29" i="13"/>
  <c r="M28" i="13"/>
  <c r="M27" i="13"/>
  <c r="M26" i="13"/>
  <c r="M25" i="13"/>
  <c r="Q28" i="13"/>
  <c r="P28" i="13"/>
  <c r="P27" i="13"/>
  <c r="G11" i="4"/>
  <c r="G10" i="4"/>
  <c r="H10" i="4" s="1"/>
  <c r="Q27" i="13"/>
  <c r="Q29" i="13"/>
  <c r="P29" i="13"/>
  <c r="P26" i="13"/>
  <c r="P25" i="13"/>
  <c r="B47" i="13"/>
  <c r="B41" i="13"/>
  <c r="B40" i="13"/>
  <c r="B43" i="13" s="1"/>
  <c r="E36" i="13"/>
  <c r="D36" i="13"/>
  <c r="C36" i="13"/>
  <c r="E35" i="13"/>
  <c r="D35" i="13"/>
  <c r="K34" i="13"/>
  <c r="E34" i="13"/>
  <c r="D34" i="13"/>
  <c r="C34" i="13"/>
  <c r="J30" i="13"/>
  <c r="J36" i="13" s="1"/>
  <c r="E29" i="13"/>
  <c r="D29" i="13"/>
  <c r="C29" i="13"/>
  <c r="C35" i="13" s="1"/>
  <c r="C25" i="13"/>
  <c r="B54" i="13" s="1"/>
  <c r="J22" i="13"/>
  <c r="H15" i="13"/>
  <c r="F15" i="13"/>
  <c r="B15" i="13"/>
  <c r="M3" i="12"/>
  <c r="D2" i="12"/>
  <c r="B46" i="12"/>
  <c r="O42" i="12"/>
  <c r="P42" i="12" s="1"/>
  <c r="R42" i="12" s="1"/>
  <c r="S42" i="12" s="1"/>
  <c r="O41" i="12"/>
  <c r="P41" i="12" s="1"/>
  <c r="M41" i="12"/>
  <c r="M44" i="12" s="1"/>
  <c r="M45" i="12" s="1"/>
  <c r="L41" i="12"/>
  <c r="L44" i="12" s="1"/>
  <c r="L45" i="12" s="1"/>
  <c r="K41" i="12"/>
  <c r="K44" i="12" s="1"/>
  <c r="K45" i="12" s="1"/>
  <c r="J41" i="12"/>
  <c r="J44" i="12" s="1"/>
  <c r="J45" i="12" s="1"/>
  <c r="I41" i="12"/>
  <c r="I44" i="12" s="1"/>
  <c r="I45" i="12" s="1"/>
  <c r="H41" i="12"/>
  <c r="H44" i="12" s="1"/>
  <c r="H45" i="12" s="1"/>
  <c r="G41" i="12"/>
  <c r="G44" i="12" s="1"/>
  <c r="G45" i="12" s="1"/>
  <c r="F41" i="12"/>
  <c r="F44" i="12" s="1"/>
  <c r="F45" i="12" s="1"/>
  <c r="E41" i="12"/>
  <c r="E44" i="12" s="1"/>
  <c r="E45" i="12" s="1"/>
  <c r="D41" i="12"/>
  <c r="D44" i="12" s="1"/>
  <c r="D45" i="12" s="1"/>
  <c r="C41" i="12"/>
  <c r="C44" i="12" s="1"/>
  <c r="C45" i="12" s="1"/>
  <c r="B41" i="12"/>
  <c r="B44" i="12" s="1"/>
  <c r="B45" i="12" s="1"/>
  <c r="O40" i="12"/>
  <c r="P40" i="12" s="1"/>
  <c r="R40" i="12" s="1"/>
  <c r="O39" i="12"/>
  <c r="P39" i="12" s="1"/>
  <c r="R39" i="12" s="1"/>
  <c r="M36" i="12"/>
  <c r="U32" i="12"/>
  <c r="K28" i="12"/>
  <c r="J28" i="12"/>
  <c r="I28" i="12"/>
  <c r="H28" i="12"/>
  <c r="G28" i="12"/>
  <c r="F28" i="12"/>
  <c r="E28" i="12"/>
  <c r="D28" i="12"/>
  <c r="C25" i="12"/>
  <c r="U20" i="12"/>
  <c r="B13" i="12"/>
  <c r="G8" i="12"/>
  <c r="F8" i="12"/>
  <c r="E8" i="12"/>
  <c r="D8" i="12"/>
  <c r="T4" i="12"/>
  <c r="S4" i="12"/>
  <c r="R4" i="12"/>
  <c r="Q4" i="12"/>
  <c r="P4" i="12"/>
  <c r="O4" i="12"/>
  <c r="N4" i="12"/>
  <c r="M4" i="12"/>
  <c r="U4" i="12" s="1"/>
  <c r="T3" i="12"/>
  <c r="T5" i="12" s="1"/>
  <c r="S3" i="12"/>
  <c r="S5" i="12" s="1"/>
  <c r="R3" i="12"/>
  <c r="R5" i="12" s="1"/>
  <c r="Q3" i="12"/>
  <c r="Q5" i="12" s="1"/>
  <c r="P3" i="12"/>
  <c r="P5" i="12" s="1"/>
  <c r="O3" i="12"/>
  <c r="O5" i="12" s="1"/>
  <c r="N3" i="12"/>
  <c r="N5" i="12" s="1"/>
  <c r="G2" i="12"/>
  <c r="F2" i="12"/>
  <c r="E2" i="12"/>
  <c r="K31" i="11"/>
  <c r="L33" i="11"/>
  <c r="L31" i="11"/>
  <c r="M33" i="11" s="1"/>
  <c r="B47" i="11"/>
  <c r="B41" i="11"/>
  <c r="B40" i="11"/>
  <c r="B42" i="11" s="1"/>
  <c r="E36" i="11"/>
  <c r="D36" i="11"/>
  <c r="C36" i="11"/>
  <c r="E35" i="11"/>
  <c r="D35" i="11"/>
  <c r="K34" i="11"/>
  <c r="E34" i="11"/>
  <c r="D34" i="11"/>
  <c r="C34" i="11"/>
  <c r="J30" i="11"/>
  <c r="J36" i="11" s="1"/>
  <c r="E29" i="11"/>
  <c r="D29" i="11"/>
  <c r="C29" i="11"/>
  <c r="B45" i="11" s="1"/>
  <c r="C25" i="11"/>
  <c r="B54" i="11" s="1"/>
  <c r="H15" i="11"/>
  <c r="F15" i="11"/>
  <c r="D15" i="11"/>
  <c r="D17" i="11" s="1"/>
  <c r="D25" i="11" s="1"/>
  <c r="B15" i="11"/>
  <c r="H19" i="3"/>
  <c r="J18" i="3"/>
  <c r="H18" i="3"/>
  <c r="J21" i="8"/>
  <c r="L26" i="9"/>
  <c r="B54" i="10"/>
  <c r="J36" i="10"/>
  <c r="E36" i="10"/>
  <c r="D36" i="10"/>
  <c r="C36" i="10"/>
  <c r="E35" i="10"/>
  <c r="D35" i="10"/>
  <c r="C35" i="10"/>
  <c r="K34" i="10"/>
  <c r="E34" i="10"/>
  <c r="D34" i="10"/>
  <c r="C34" i="10"/>
  <c r="J30" i="10"/>
  <c r="E29" i="10"/>
  <c r="D29" i="10"/>
  <c r="C29" i="10"/>
  <c r="C25" i="10"/>
  <c r="H15" i="10"/>
  <c r="F15" i="10"/>
  <c r="D15" i="10"/>
  <c r="D17" i="10" s="1"/>
  <c r="B15" i="10"/>
  <c r="J3" i="10"/>
  <c r="J22" i="10" s="1"/>
  <c r="J37" i="10" s="1"/>
  <c r="B47" i="9"/>
  <c r="B42" i="9"/>
  <c r="B41" i="9"/>
  <c r="B40" i="9"/>
  <c r="B49" i="9" s="1"/>
  <c r="E36" i="9"/>
  <c r="D36" i="9"/>
  <c r="C36" i="9"/>
  <c r="E35" i="9"/>
  <c r="D35" i="9"/>
  <c r="C35" i="9"/>
  <c r="K34" i="9"/>
  <c r="E34" i="9"/>
  <c r="D34" i="9"/>
  <c r="C34" i="9"/>
  <c r="J30" i="9"/>
  <c r="J36" i="9" s="1"/>
  <c r="E29" i="9"/>
  <c r="D29" i="9"/>
  <c r="C29" i="9"/>
  <c r="B45" i="9" s="1"/>
  <c r="D25" i="9"/>
  <c r="D28" i="9" s="1"/>
  <c r="C25" i="9"/>
  <c r="B54" i="9" s="1"/>
  <c r="D17" i="9"/>
  <c r="E17" i="9" s="1"/>
  <c r="C17" i="9"/>
  <c r="H15" i="9"/>
  <c r="F15" i="9"/>
  <c r="D15" i="9"/>
  <c r="B15" i="9"/>
  <c r="F15" i="2"/>
  <c r="J17" i="8"/>
  <c r="J19" i="8"/>
  <c r="D2" i="8"/>
  <c r="K34" i="2"/>
  <c r="I5" i="4"/>
  <c r="I4" i="4"/>
  <c r="I6" i="4"/>
  <c r="I7" i="4"/>
  <c r="I8" i="4"/>
  <c r="I9" i="4"/>
  <c r="I14" i="4"/>
  <c r="I15" i="4"/>
  <c r="H3" i="4"/>
  <c r="G12" i="4"/>
  <c r="J36" i="8"/>
  <c r="B47" i="8"/>
  <c r="B43" i="8"/>
  <c r="B41" i="8"/>
  <c r="B40" i="8"/>
  <c r="B42" i="8" s="1"/>
  <c r="E36" i="8"/>
  <c r="D36" i="8"/>
  <c r="C36" i="8"/>
  <c r="E35" i="8"/>
  <c r="D35" i="8"/>
  <c r="C35" i="8"/>
  <c r="E34" i="8"/>
  <c r="D34" i="8"/>
  <c r="C34" i="8"/>
  <c r="J30" i="8"/>
  <c r="E29" i="8"/>
  <c r="D29" i="8"/>
  <c r="C29" i="8"/>
  <c r="B45" i="8" s="1"/>
  <c r="C26" i="8"/>
  <c r="C25" i="8"/>
  <c r="B44" i="8" s="1"/>
  <c r="H15" i="8"/>
  <c r="F15" i="8"/>
  <c r="D15" i="8"/>
  <c r="D17" i="8" s="1"/>
  <c r="B15" i="8"/>
  <c r="B54" i="8" s="1"/>
  <c r="G9" i="4"/>
  <c r="B147" i="4"/>
  <c r="B135" i="4"/>
  <c r="B123" i="4"/>
  <c r="B99" i="4"/>
  <c r="B23" i="14" l="1"/>
  <c r="J3" i="8"/>
  <c r="J22" i="8" s="1"/>
  <c r="E19" i="8" s="1"/>
  <c r="J3" i="9"/>
  <c r="J22" i="9" s="1"/>
  <c r="D15" i="13"/>
  <c r="D17" i="13" s="1"/>
  <c r="D25" i="13" s="1"/>
  <c r="J37" i="13"/>
  <c r="E19" i="13"/>
  <c r="I10" i="4"/>
  <c r="B44" i="13"/>
  <c r="B45" i="13"/>
  <c r="B48" i="13"/>
  <c r="B50" i="13" s="1"/>
  <c r="B49" i="13"/>
  <c r="C19" i="13"/>
  <c r="D19" i="13"/>
  <c r="B42" i="13"/>
  <c r="B53" i="13"/>
  <c r="C26" i="13"/>
  <c r="S40" i="12"/>
  <c r="N17" i="12"/>
  <c r="N29" i="12"/>
  <c r="S39" i="12"/>
  <c r="N16" i="12"/>
  <c r="R41" i="12"/>
  <c r="N28" i="12"/>
  <c r="M5" i="12"/>
  <c r="U5" i="12" s="1"/>
  <c r="U3" i="12"/>
  <c r="B47" i="12"/>
  <c r="C17" i="11"/>
  <c r="C35" i="11"/>
  <c r="E19" i="11"/>
  <c r="B53" i="11"/>
  <c r="D28" i="11"/>
  <c r="D26" i="11"/>
  <c r="J37" i="11"/>
  <c r="E17" i="11"/>
  <c r="C26" i="11"/>
  <c r="B44" i="11"/>
  <c r="B43" i="11"/>
  <c r="B48" i="11"/>
  <c r="B50" i="11" s="1"/>
  <c r="B49" i="11"/>
  <c r="C19" i="11"/>
  <c r="C21" i="11" s="1"/>
  <c r="D19" i="11"/>
  <c r="D21" i="11" s="1"/>
  <c r="D19" i="9"/>
  <c r="D21" i="9" s="1"/>
  <c r="J37" i="9"/>
  <c r="C17" i="10"/>
  <c r="E17" i="10"/>
  <c r="C19" i="10"/>
  <c r="C21" i="10" s="1"/>
  <c r="D19" i="10"/>
  <c r="D21" i="10" s="1"/>
  <c r="D25" i="10"/>
  <c r="E19" i="10"/>
  <c r="C26" i="10"/>
  <c r="E25" i="9"/>
  <c r="D26" i="9"/>
  <c r="B44" i="9"/>
  <c r="C19" i="9"/>
  <c r="C21" i="9" s="1"/>
  <c r="E19" i="9"/>
  <c r="E21" i="9" s="1"/>
  <c r="B43" i="9"/>
  <c r="B48" i="9" s="1"/>
  <c r="B50" i="9" s="1"/>
  <c r="C26" i="9"/>
  <c r="B53" i="9"/>
  <c r="J37" i="8"/>
  <c r="B53" i="8"/>
  <c r="D25" i="8"/>
  <c r="E17" i="8"/>
  <c r="C17" i="8"/>
  <c r="B48" i="8"/>
  <c r="B50" i="8" s="1"/>
  <c r="D19" i="8"/>
  <c r="D21" i="8" s="1"/>
  <c r="B49" i="8"/>
  <c r="C19" i="8"/>
  <c r="H11" i="4"/>
  <c r="L11" i="4" s="1"/>
  <c r="H5" i="4"/>
  <c r="H4" i="4"/>
  <c r="L10" i="4"/>
  <c r="H12" i="4"/>
  <c r="G13" i="4"/>
  <c r="H13" i="4" s="1"/>
  <c r="L13" i="4" s="1"/>
  <c r="G6" i="4"/>
  <c r="G5" i="4"/>
  <c r="G4" i="4"/>
  <c r="G3" i="4"/>
  <c r="G14" i="4"/>
  <c r="H14" i="4" s="1"/>
  <c r="L14" i="4" s="1"/>
  <c r="G15" i="4"/>
  <c r="H15" i="4" s="1"/>
  <c r="L15" i="4" s="1"/>
  <c r="H69" i="4"/>
  <c r="H68" i="4"/>
  <c r="L7" i="4"/>
  <c r="L8" i="4"/>
  <c r="G70" i="4"/>
  <c r="G77" i="4"/>
  <c r="M40" i="6"/>
  <c r="P40" i="6" s="1"/>
  <c r="O40" i="6" s="1"/>
  <c r="G40" i="6"/>
  <c r="J40" i="6" s="1"/>
  <c r="I40" i="6" s="1"/>
  <c r="P39" i="6"/>
  <c r="O39" i="6"/>
  <c r="J39" i="6"/>
  <c r="I39" i="6"/>
  <c r="I41" i="6" s="1"/>
  <c r="M34" i="6"/>
  <c r="P34" i="6" s="1"/>
  <c r="O34" i="6" s="1"/>
  <c r="G34" i="6"/>
  <c r="J34" i="6" s="1"/>
  <c r="I34" i="6" s="1"/>
  <c r="P33" i="6"/>
  <c r="O33" i="6"/>
  <c r="O35" i="6" s="1"/>
  <c r="E14" i="6" s="1"/>
  <c r="J33" i="6"/>
  <c r="I33" i="6"/>
  <c r="I35" i="6" s="1"/>
  <c r="D14" i="6" s="1"/>
  <c r="E32" i="6"/>
  <c r="E33" i="6" s="1"/>
  <c r="D32" i="6"/>
  <c r="D33" i="6" s="1"/>
  <c r="M28" i="6"/>
  <c r="G28" i="6"/>
  <c r="M27" i="6"/>
  <c r="G27" i="6"/>
  <c r="M21" i="6"/>
  <c r="G21" i="6"/>
  <c r="M20" i="6"/>
  <c r="G20" i="6"/>
  <c r="M19" i="6"/>
  <c r="G19" i="6"/>
  <c r="M18" i="6"/>
  <c r="G18" i="6"/>
  <c r="T15" i="6"/>
  <c r="T14" i="6"/>
  <c r="E13" i="6"/>
  <c r="D13" i="6"/>
  <c r="M12" i="6"/>
  <c r="G12" i="6"/>
  <c r="T7" i="6"/>
  <c r="D7" i="6"/>
  <c r="E7" i="6" s="1"/>
  <c r="E8" i="6" s="1"/>
  <c r="T6" i="6"/>
  <c r="T9" i="6" s="1"/>
  <c r="M6" i="6"/>
  <c r="G6" i="6"/>
  <c r="T5" i="6"/>
  <c r="M5" i="6"/>
  <c r="G5" i="6"/>
  <c r="E4" i="6"/>
  <c r="D4" i="6"/>
  <c r="T3" i="6"/>
  <c r="E3" i="6"/>
  <c r="L3" i="4"/>
  <c r="L4" i="4"/>
  <c r="L5" i="4"/>
  <c r="H6" i="4"/>
  <c r="L6" i="4" s="1"/>
  <c r="G7" i="4"/>
  <c r="H7" i="4" s="1"/>
  <c r="G8" i="4"/>
  <c r="H8" i="4"/>
  <c r="H9" i="4"/>
  <c r="L9" i="4" s="1"/>
  <c r="J29" i="4"/>
  <c r="K29" i="4" s="1"/>
  <c r="K30" i="4" s="1"/>
  <c r="K31" i="4" s="1"/>
  <c r="K32" i="4" s="1"/>
  <c r="K33" i="4" s="1"/>
  <c r="K34" i="4" s="1"/>
  <c r="K35" i="4" s="1"/>
  <c r="K36" i="4" s="1"/>
  <c r="O29" i="4"/>
  <c r="P29" i="4"/>
  <c r="Q29" i="4"/>
  <c r="R29" i="4"/>
  <c r="R49" i="4" s="1"/>
  <c r="J30" i="4"/>
  <c r="O30" i="4"/>
  <c r="P30" i="4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Q30" i="4"/>
  <c r="R30" i="4"/>
  <c r="J31" i="4"/>
  <c r="O31" i="4"/>
  <c r="Q31" i="4"/>
  <c r="R31" i="4"/>
  <c r="J32" i="4"/>
  <c r="O32" i="4"/>
  <c r="Q32" i="4"/>
  <c r="R32" i="4"/>
  <c r="J33" i="4"/>
  <c r="O33" i="4"/>
  <c r="Q33" i="4"/>
  <c r="R33" i="4"/>
  <c r="J34" i="4"/>
  <c r="O34" i="4"/>
  <c r="Q34" i="4"/>
  <c r="R34" i="4"/>
  <c r="J35" i="4"/>
  <c r="O35" i="4"/>
  <c r="Q35" i="4"/>
  <c r="R35" i="4"/>
  <c r="J36" i="4"/>
  <c r="O36" i="4"/>
  <c r="Q36" i="4"/>
  <c r="R36" i="4"/>
  <c r="O37" i="4"/>
  <c r="Q37" i="4"/>
  <c r="R37" i="4"/>
  <c r="O38" i="4"/>
  <c r="Q38" i="4"/>
  <c r="Q49" i="4" s="1"/>
  <c r="R38" i="4"/>
  <c r="O39" i="4"/>
  <c r="Q39" i="4"/>
  <c r="R39" i="4"/>
  <c r="O40" i="4"/>
  <c r="Q40" i="4"/>
  <c r="R40" i="4"/>
  <c r="O41" i="4"/>
  <c r="Q41" i="4"/>
  <c r="R41" i="4"/>
  <c r="O42" i="4"/>
  <c r="Q42" i="4"/>
  <c r="R42" i="4"/>
  <c r="O43" i="4"/>
  <c r="Q43" i="4"/>
  <c r="R43" i="4"/>
  <c r="O44" i="4"/>
  <c r="Q44" i="4"/>
  <c r="R44" i="4"/>
  <c r="O45" i="4"/>
  <c r="Q45" i="4"/>
  <c r="R45" i="4"/>
  <c r="O46" i="4"/>
  <c r="Q46" i="4"/>
  <c r="R46" i="4"/>
  <c r="O47" i="4"/>
  <c r="Q47" i="4"/>
  <c r="R47" i="4"/>
  <c r="O48" i="4"/>
  <c r="Q48" i="4"/>
  <c r="R48" i="4"/>
  <c r="B47" i="2"/>
  <c r="B41" i="2"/>
  <c r="B40" i="2"/>
  <c r="B49" i="2" s="1"/>
  <c r="E36" i="2"/>
  <c r="D36" i="2"/>
  <c r="C36" i="2"/>
  <c r="E35" i="2"/>
  <c r="D35" i="2"/>
  <c r="E34" i="2"/>
  <c r="D34" i="2"/>
  <c r="C34" i="2"/>
  <c r="J30" i="2"/>
  <c r="J36" i="2" s="1"/>
  <c r="C25" i="2"/>
  <c r="B54" i="2" s="1"/>
  <c r="H15" i="2"/>
  <c r="B15" i="2"/>
  <c r="J22" i="2"/>
  <c r="E29" i="2"/>
  <c r="E17" i="13" l="1"/>
  <c r="C17" i="13"/>
  <c r="D21" i="13"/>
  <c r="C21" i="13"/>
  <c r="I11" i="4"/>
  <c r="E25" i="13"/>
  <c r="E21" i="13"/>
  <c r="D28" i="13"/>
  <c r="D26" i="13"/>
  <c r="C19" i="2"/>
  <c r="S41" i="12"/>
  <c r="S43" i="12" s="1"/>
  <c r="S44" i="12" s="1"/>
  <c r="T17" i="12"/>
  <c r="U17" i="12" s="1"/>
  <c r="T29" i="12"/>
  <c r="U29" i="12" s="1"/>
  <c r="N18" i="12"/>
  <c r="T28" i="12"/>
  <c r="T16" i="12"/>
  <c r="N30" i="12"/>
  <c r="I13" i="4"/>
  <c r="I12" i="4"/>
  <c r="E25" i="11"/>
  <c r="E21" i="11"/>
  <c r="D28" i="10"/>
  <c r="D26" i="10"/>
  <c r="E21" i="10"/>
  <c r="E25" i="10"/>
  <c r="E28" i="9"/>
  <c r="E26" i="9"/>
  <c r="D28" i="8"/>
  <c r="D26" i="8"/>
  <c r="C21" i="8"/>
  <c r="E21" i="8"/>
  <c r="E25" i="8"/>
  <c r="L12" i="4"/>
  <c r="G78" i="4"/>
  <c r="E18" i="6"/>
  <c r="E22" i="6"/>
  <c r="D3" i="6"/>
  <c r="P4" i="6"/>
  <c r="P21" i="6"/>
  <c r="O21" i="6" s="1"/>
  <c r="P11" i="6"/>
  <c r="O11" i="6" s="1"/>
  <c r="O13" i="6" s="1"/>
  <c r="P5" i="6"/>
  <c r="P17" i="6"/>
  <c r="O17" i="6" s="1"/>
  <c r="P20" i="6"/>
  <c r="O20" i="6" s="1"/>
  <c r="P6" i="6"/>
  <c r="O6" i="6" s="1"/>
  <c r="P19" i="6"/>
  <c r="O19" i="6" s="1"/>
  <c r="E27" i="6"/>
  <c r="P18" i="6"/>
  <c r="O18" i="6" s="1"/>
  <c r="P12" i="6"/>
  <c r="O12" i="6" s="1"/>
  <c r="D18" i="6"/>
  <c r="D22" i="6"/>
  <c r="O41" i="6"/>
  <c r="E19" i="2"/>
  <c r="D19" i="2"/>
  <c r="J37" i="2"/>
  <c r="B53" i="2"/>
  <c r="B42" i="2"/>
  <c r="B43" i="2"/>
  <c r="C26" i="2"/>
  <c r="B44" i="2"/>
  <c r="B48" i="2"/>
  <c r="B50" i="2" s="1"/>
  <c r="D15" i="2"/>
  <c r="C29" i="2"/>
  <c r="D29" i="2"/>
  <c r="E28" i="13" l="1"/>
  <c r="E26" i="13"/>
  <c r="O17" i="12"/>
  <c r="O16" i="12"/>
  <c r="P16" i="12" s="1"/>
  <c r="U28" i="12"/>
  <c r="T30" i="12"/>
  <c r="U16" i="12"/>
  <c r="T18" i="12"/>
  <c r="O29" i="12"/>
  <c r="P29" i="12" s="1"/>
  <c r="Q29" i="12" s="1"/>
  <c r="R29" i="12" s="1"/>
  <c r="S29" i="12" s="1"/>
  <c r="O28" i="12"/>
  <c r="E26" i="11"/>
  <c r="E28" i="11"/>
  <c r="E28" i="10"/>
  <c r="E26" i="10"/>
  <c r="E28" i="8"/>
  <c r="E26" i="8"/>
  <c r="J4" i="4"/>
  <c r="J15" i="4"/>
  <c r="J3" i="4"/>
  <c r="J14" i="4"/>
  <c r="J6" i="4"/>
  <c r="J13" i="4"/>
  <c r="J12" i="4"/>
  <c r="J11" i="4"/>
  <c r="J10" i="4"/>
  <c r="J9" i="4"/>
  <c r="J8" i="4"/>
  <c r="J7" i="4"/>
  <c r="J5" i="4"/>
  <c r="O22" i="6"/>
  <c r="O4" i="6"/>
  <c r="O5" i="6"/>
  <c r="D8" i="6"/>
  <c r="E23" i="6"/>
  <c r="D23" i="6"/>
  <c r="P27" i="6"/>
  <c r="O27" i="6" s="1"/>
  <c r="P26" i="6"/>
  <c r="O26" i="6" s="1"/>
  <c r="P28" i="6"/>
  <c r="O28" i="6" s="1"/>
  <c r="B45" i="2"/>
  <c r="C35" i="2"/>
  <c r="C17" i="2"/>
  <c r="C21" i="2" s="1"/>
  <c r="D17" i="2"/>
  <c r="P17" i="12" l="1"/>
  <c r="Q17" i="12" s="1"/>
  <c r="R17" i="12" s="1"/>
  <c r="S17" i="12" s="1"/>
  <c r="O18" i="12"/>
  <c r="Q16" i="12"/>
  <c r="P18" i="12"/>
  <c r="T35" i="12"/>
  <c r="U30" i="12"/>
  <c r="U18" i="12"/>
  <c r="T23" i="12"/>
  <c r="O30" i="12"/>
  <c r="P28" i="12"/>
  <c r="O29" i="6"/>
  <c r="J21" i="6"/>
  <c r="I21" i="6" s="1"/>
  <c r="J18" i="6"/>
  <c r="I18" i="6" s="1"/>
  <c r="J6" i="6"/>
  <c r="I6" i="6" s="1"/>
  <c r="J20" i="6"/>
  <c r="I20" i="6" s="1"/>
  <c r="J19" i="6"/>
  <c r="I19" i="6" s="1"/>
  <c r="J12" i="6"/>
  <c r="I12" i="6" s="1"/>
  <c r="J4" i="6"/>
  <c r="J11" i="6"/>
  <c r="I11" i="6" s="1"/>
  <c r="I13" i="6" s="1"/>
  <c r="J17" i="6"/>
  <c r="I17" i="6" s="1"/>
  <c r="I22" i="6" s="1"/>
  <c r="J5" i="6"/>
  <c r="D27" i="6"/>
  <c r="Q7" i="6"/>
  <c r="O7" i="6"/>
  <c r="D21" i="2"/>
  <c r="E17" i="2"/>
  <c r="D25" i="2"/>
  <c r="Q18" i="12" l="1"/>
  <c r="R16" i="12"/>
  <c r="U35" i="12"/>
  <c r="U23" i="12"/>
  <c r="Q28" i="12"/>
  <c r="P30" i="12"/>
  <c r="J26" i="6"/>
  <c r="I26" i="6" s="1"/>
  <c r="J27" i="6"/>
  <c r="I27" i="6" s="1"/>
  <c r="J28" i="6"/>
  <c r="I28" i="6" s="1"/>
  <c r="I4" i="6"/>
  <c r="I5" i="6"/>
  <c r="E9" i="6"/>
  <c r="T16" i="6"/>
  <c r="T17" i="6" s="1"/>
  <c r="E21" i="2"/>
  <c r="E25" i="2"/>
  <c r="D28" i="2"/>
  <c r="D26" i="2"/>
  <c r="S16" i="12" l="1"/>
  <c r="R18" i="12"/>
  <c r="S18" i="12" s="1"/>
  <c r="Q30" i="12"/>
  <c r="R28" i="12"/>
  <c r="K7" i="6"/>
  <c r="I7" i="6"/>
  <c r="E17" i="6"/>
  <c r="E19" i="6" s="1"/>
  <c r="E21" i="6"/>
  <c r="E24" i="6" s="1"/>
  <c r="I29" i="6"/>
  <c r="E28" i="2"/>
  <c r="E26" i="2"/>
  <c r="T19" i="12" l="1"/>
  <c r="T22" i="12"/>
  <c r="S28" i="12"/>
  <c r="R30" i="12"/>
  <c r="S30" i="12" s="1"/>
  <c r="D9" i="6"/>
  <c r="T10" i="6"/>
  <c r="T11" i="6" s="1"/>
  <c r="T21" i="12" l="1"/>
  <c r="U21" i="12" s="1"/>
  <c r="U19" i="12"/>
  <c r="T24" i="12"/>
  <c r="U24" i="12" s="1"/>
  <c r="U22" i="12"/>
  <c r="T31" i="12"/>
  <c r="T34" i="12"/>
  <c r="D21" i="6"/>
  <c r="D24" i="6" s="1"/>
  <c r="F24" i="6" s="1"/>
  <c r="D17" i="6"/>
  <c r="D19" i="6" s="1"/>
  <c r="U31" i="12" l="1"/>
  <c r="T33" i="12"/>
  <c r="U33" i="12" s="1"/>
  <c r="T36" i="12"/>
  <c r="U36" i="12" s="1"/>
  <c r="U34" i="12"/>
  <c r="N2" i="14"/>
</calcChain>
</file>

<file path=xl/sharedStrings.xml><?xml version="1.0" encoding="utf-8"?>
<sst xmlns="http://schemas.openxmlformats.org/spreadsheetml/2006/main" count="1512" uniqueCount="566">
  <si>
    <t>inkomsten krien</t>
  </si>
  <si>
    <t>inkomsten josh</t>
  </si>
  <si>
    <t>uitgaves josh</t>
  </si>
  <si>
    <t>Gezamelijke inkomsten</t>
  </si>
  <si>
    <t>gedeelde uitgaves</t>
  </si>
  <si>
    <t>Loon</t>
  </si>
  <si>
    <t>loon</t>
  </si>
  <si>
    <t>boogschieten</t>
  </si>
  <si>
    <t>huurtoeslag</t>
  </si>
  <si>
    <t>hypotheek</t>
  </si>
  <si>
    <t>kinder gebonden budget</t>
  </si>
  <si>
    <t xml:space="preserve">spaargeld </t>
  </si>
  <si>
    <t>hypo-aftrek</t>
  </si>
  <si>
    <t>kinderbijslag</t>
  </si>
  <si>
    <t>gas elec</t>
  </si>
  <si>
    <t>1 kind op mijn naam met kinderbijslag</t>
  </si>
  <si>
    <t>loonverhoging</t>
  </si>
  <si>
    <t>zorgtoeslag</t>
  </si>
  <si>
    <t>water</t>
  </si>
  <si>
    <t>sem</t>
  </si>
  <si>
    <t>loonverhoging2 %</t>
  </si>
  <si>
    <t>kinder geb budget</t>
  </si>
  <si>
    <t>bsgw</t>
  </si>
  <si>
    <t>lucas</t>
  </si>
  <si>
    <t>afbetaling krien</t>
  </si>
  <si>
    <t>ziggo</t>
  </si>
  <si>
    <t>sophie</t>
  </si>
  <si>
    <t>NN pakketverzekering Confident limburg</t>
  </si>
  <si>
    <t>vodafoon</t>
  </si>
  <si>
    <t>NN</t>
  </si>
  <si>
    <t>2 kind op mijn naam met kinderbijslag</t>
  </si>
  <si>
    <t>auto verzek</t>
  </si>
  <si>
    <t>wegenbelasting</t>
  </si>
  <si>
    <t>dela</t>
  </si>
  <si>
    <t>totaal</t>
  </si>
  <si>
    <t>totalen</t>
  </si>
  <si>
    <t>totaal toeslagen</t>
  </si>
  <si>
    <t>belasting</t>
  </si>
  <si>
    <t>totalen netto inkomsten</t>
  </si>
  <si>
    <t>TAF</t>
  </si>
  <si>
    <t>totaal uitgaves</t>
  </si>
  <si>
    <t>totaal over te spenderen</t>
  </si>
  <si>
    <t>subtotaal</t>
  </si>
  <si>
    <t>bruto</t>
  </si>
  <si>
    <t>hond eten</t>
  </si>
  <si>
    <t>netto</t>
  </si>
  <si>
    <t>Benzine</t>
  </si>
  <si>
    <t>verschil bruto - netto</t>
  </si>
  <si>
    <t>eten</t>
  </si>
  <si>
    <t>vakantiegeld netto</t>
  </si>
  <si>
    <t>bruto verschil met huidige loon</t>
  </si>
  <si>
    <t>hypo aftrek</t>
  </si>
  <si>
    <t>alimenttatie</t>
  </si>
  <si>
    <t>eenmalige ontvangsten</t>
  </si>
  <si>
    <t>Bijtelling leaseauto</t>
  </si>
  <si>
    <t>sparen noodpotje</t>
  </si>
  <si>
    <t>jaarbasis</t>
  </si>
  <si>
    <t>DUO afbetaling</t>
  </si>
  <si>
    <t>loonheffingsloon</t>
  </si>
  <si>
    <t>schenking(sparen?)</t>
  </si>
  <si>
    <t>toestingsinkomen</t>
  </si>
  <si>
    <t>hypotheek per maand</t>
  </si>
  <si>
    <t>Netto per jaar</t>
  </si>
  <si>
    <t>Totaal</t>
  </si>
  <si>
    <t>vakantiegeld</t>
  </si>
  <si>
    <t>verschil met huidige loon</t>
  </si>
  <si>
    <t>Totaal over na onkosten</t>
  </si>
  <si>
    <t>jaarbasis inclusief bijtelling</t>
  </si>
  <si>
    <t>hypotheek alleen Joshua</t>
  </si>
  <si>
    <t>Hypotheek samen met Krien op 35000</t>
  </si>
  <si>
    <t>voorlopige aanslag 2025</t>
  </si>
  <si>
    <t>sparen kids</t>
  </si>
  <si>
    <t>website</t>
  </si>
  <si>
    <t>https://www.belastingdienst.nl/wps/wcm/connect/nl/koopwoning/content/hulpmiddel-aflossingsverplichting-annuiteitenlening-berekenen</t>
  </si>
  <si>
    <t>Maand</t>
  </si>
  <si>
    <t>Betaling</t>
  </si>
  <si>
    <t>Betaalde rente</t>
  </si>
  <si>
    <t>Aflossing</t>
  </si>
  <si>
    <t>Resterende bedrag</t>
  </si>
  <si>
    <t>januari</t>
  </si>
  <si>
    <t>€  0</t>
  </si>
  <si>
    <t>februari</t>
  </si>
  <si>
    <t>maart</t>
  </si>
  <si>
    <t>april</t>
  </si>
  <si>
    <t>€  1258.01</t>
  </si>
  <si>
    <t>€  836.46</t>
  </si>
  <si>
    <t>€  421.56</t>
  </si>
  <si>
    <t>€  274578.44</t>
  </si>
  <si>
    <t>mei</t>
  </si>
  <si>
    <t>€  835.18</t>
  </si>
  <si>
    <t>€  422.84</t>
  </si>
  <si>
    <t>€  274155.61</t>
  </si>
  <si>
    <t>juni</t>
  </si>
  <si>
    <t>€  833.89</t>
  </si>
  <si>
    <t>€  424.12</t>
  </si>
  <si>
    <t>€  273731.48</t>
  </si>
  <si>
    <t>juli</t>
  </si>
  <si>
    <t>€  832.60</t>
  </si>
  <si>
    <t>€  425.41</t>
  </si>
  <si>
    <t>€  273306.07</t>
  </si>
  <si>
    <t>augustus</t>
  </si>
  <si>
    <t>€  831.31</t>
  </si>
  <si>
    <t>€  426.71</t>
  </si>
  <si>
    <t>€  272879.36</t>
  </si>
  <si>
    <t>september</t>
  </si>
  <si>
    <t>€  830.01</t>
  </si>
  <si>
    <t>€  428.01</t>
  </si>
  <si>
    <t>€  272451.36</t>
  </si>
  <si>
    <t>oktober</t>
  </si>
  <si>
    <t>€  828.71</t>
  </si>
  <si>
    <t>€  429.31</t>
  </si>
  <si>
    <t>€  272022.05</t>
  </si>
  <si>
    <t>november</t>
  </si>
  <si>
    <t>€  827.40</t>
  </si>
  <si>
    <t>€  430.61</t>
  </si>
  <si>
    <t>€  271591.43</t>
  </si>
  <si>
    <t>december</t>
  </si>
  <si>
    <t>€  826.09</t>
  </si>
  <si>
    <t>€  431.92</t>
  </si>
  <si>
    <t>€  271159.51</t>
  </si>
  <si>
    <t>€  270726.27</t>
  </si>
  <si>
    <t>€  270291.72</t>
  </si>
  <si>
    <t>€  269855.84</t>
  </si>
  <si>
    <t>€  269418.64</t>
  </si>
  <si>
    <t>€  268980.11</t>
  </si>
  <si>
    <t>€  268540.24</t>
  </si>
  <si>
    <t>€  268099.04</t>
  </si>
  <si>
    <t>€  267656.49</t>
  </si>
  <si>
    <t>€  267212.60</t>
  </si>
  <si>
    <t>€  266767.36</t>
  </si>
  <si>
    <t>€  266320.76</t>
  </si>
  <si>
    <t>€  265872.81</t>
  </si>
  <si>
    <t>€  808.70</t>
  </si>
  <si>
    <t>€  449.32</t>
  </si>
  <si>
    <t>€  265423.49</t>
  </si>
  <si>
    <t>€  807.33</t>
  </si>
  <si>
    <t>€  450.68</t>
  </si>
  <si>
    <t>€  264972.81</t>
  </si>
  <si>
    <t>€  805.96</t>
  </si>
  <si>
    <t>€  452.05</t>
  </si>
  <si>
    <t>€  264520.75</t>
  </si>
  <si>
    <t>€  804.58</t>
  </si>
  <si>
    <t>€  453.43</t>
  </si>
  <si>
    <t>€  264067.32</t>
  </si>
  <si>
    <t>€  803.20</t>
  </si>
  <si>
    <t>€  454.81</t>
  </si>
  <si>
    <t>€  263612.51</t>
  </si>
  <si>
    <t>€  801.82</t>
  </si>
  <si>
    <t>€  456.19</t>
  </si>
  <si>
    <t>€  263156.32</t>
  </si>
  <si>
    <t>€  800.43</t>
  </si>
  <si>
    <t>€  457.58</t>
  </si>
  <si>
    <t>€  262698.74</t>
  </si>
  <si>
    <t>€  799.04</t>
  </si>
  <si>
    <t>€  458.97</t>
  </si>
  <si>
    <t>€  262239.77</t>
  </si>
  <si>
    <t>€  797.65</t>
  </si>
  <si>
    <t>€  460.37</t>
  </si>
  <si>
    <t>€  261779.40</t>
  </si>
  <si>
    <t>€  796.25</t>
  </si>
  <si>
    <t>€  461.77</t>
  </si>
  <si>
    <t>€  261317.63</t>
  </si>
  <si>
    <t>€  794.84</t>
  </si>
  <si>
    <t>€  463.17</t>
  </si>
  <si>
    <t>€  260854.46</t>
  </si>
  <si>
    <t>€  793.43</t>
  </si>
  <si>
    <t>€  464.58</t>
  </si>
  <si>
    <t>€  260389.88</t>
  </si>
  <si>
    <t>€  792.02</t>
  </si>
  <si>
    <t>€  465.99</t>
  </si>
  <si>
    <t>€  259923.88</t>
  </si>
  <si>
    <t>€  790.60</t>
  </si>
  <si>
    <t>€  467.41</t>
  </si>
  <si>
    <t>€  259456.47</t>
  </si>
  <si>
    <t>€  789.18</t>
  </si>
  <si>
    <t>€  468.83</t>
  </si>
  <si>
    <t>€  258987.64</t>
  </si>
  <si>
    <t>€  787.75</t>
  </si>
  <si>
    <t>€  470.26</t>
  </si>
  <si>
    <t>€  258517.38</t>
  </si>
  <si>
    <t>€  786.32</t>
  </si>
  <si>
    <t>€  471.69</t>
  </si>
  <si>
    <t>€  258045.69</t>
  </si>
  <si>
    <t>€  784.89</t>
  </si>
  <si>
    <t>€  473.12</t>
  </si>
  <si>
    <t>€  257572.56</t>
  </si>
  <si>
    <t>€  783.45</t>
  </si>
  <si>
    <t>€  474.56</t>
  </si>
  <si>
    <t>€  257098.00</t>
  </si>
  <si>
    <t>€  782.01</t>
  </si>
  <si>
    <t>€  476.01</t>
  </si>
  <si>
    <t>€  256621.99</t>
  </si>
  <si>
    <t>€  780.56</t>
  </si>
  <si>
    <t>€  477.46</t>
  </si>
  <si>
    <t>€  256144.54</t>
  </si>
  <si>
    <t>€  779.11</t>
  </si>
  <si>
    <t>€  478.91</t>
  </si>
  <si>
    <t>€  255665.63</t>
  </si>
  <si>
    <t>€  777.65</t>
  </si>
  <si>
    <t>€  480.36</t>
  </si>
  <si>
    <t>€  255185.27</t>
  </si>
  <si>
    <t>€  776.19</t>
  </si>
  <si>
    <t>€  481.83</t>
  </si>
  <si>
    <t>€  254703.44</t>
  </si>
  <si>
    <t>€  774.72</t>
  </si>
  <si>
    <t>€  483.29</t>
  </si>
  <si>
    <t>€  254220.15</t>
  </si>
  <si>
    <t>€  773.25</t>
  </si>
  <si>
    <t>€  484.76</t>
  </si>
  <si>
    <t>€  253735.39</t>
  </si>
  <si>
    <t>€  771.78</t>
  </si>
  <si>
    <t>€  486.24</t>
  </si>
  <si>
    <t>€  253249.15</t>
  </si>
  <si>
    <t>€  770.30</t>
  </si>
  <si>
    <t>€  487.71</t>
  </si>
  <si>
    <t>€  252761.44</t>
  </si>
  <si>
    <t>€  768.82</t>
  </si>
  <si>
    <t>€  489.20</t>
  </si>
  <si>
    <t>€  252272.24</t>
  </si>
  <si>
    <t>€  767.33</t>
  </si>
  <si>
    <t>€  490.69</t>
  </si>
  <si>
    <t>€  251781.56</t>
  </si>
  <si>
    <t>€  765.84</t>
  </si>
  <si>
    <t>€  492.18</t>
  </si>
  <si>
    <t>€  251289.38</t>
  </si>
  <si>
    <t>€  764.34</t>
  </si>
  <si>
    <t>€  493.68</t>
  </si>
  <si>
    <t>€  250795.70</t>
  </si>
  <si>
    <t>€  762.84</t>
  </si>
  <si>
    <t>€  495.18</t>
  </si>
  <si>
    <t>€  250300.53</t>
  </si>
  <si>
    <t>€  761.33</t>
  </si>
  <si>
    <t>€  496.68</t>
  </si>
  <si>
    <t>€  249803.84</t>
  </si>
  <si>
    <t>€  759.82</t>
  </si>
  <si>
    <t>€  498.19</t>
  </si>
  <si>
    <t>€  249305.65</t>
  </si>
  <si>
    <t>€  758.30</t>
  </si>
  <si>
    <t>€  499.71</t>
  </si>
  <si>
    <t>€  248805.94</t>
  </si>
  <si>
    <t>€  756.78</t>
  </si>
  <si>
    <t>€  501.23</t>
  </si>
  <si>
    <t>€  248304.71</t>
  </si>
  <si>
    <t>€  755.26</t>
  </si>
  <si>
    <t>€  502.75</t>
  </si>
  <si>
    <t>€  247801.96</t>
  </si>
  <si>
    <t>€  753.73</t>
  </si>
  <si>
    <t>€  504.28</t>
  </si>
  <si>
    <t>€  247297.67</t>
  </si>
  <si>
    <t>€  752.20</t>
  </si>
  <si>
    <t>€  505.82</t>
  </si>
  <si>
    <t>€  246791.86</t>
  </si>
  <si>
    <t>€  750.66</t>
  </si>
  <si>
    <t>€  507.36</t>
  </si>
  <si>
    <t>€  246284.50</t>
  </si>
  <si>
    <t>€  749.12</t>
  </si>
  <si>
    <t>€  508.90</t>
  </si>
  <si>
    <t>€  245775.60</t>
  </si>
  <si>
    <t>€  747.57</t>
  </si>
  <si>
    <t>€  510.45</t>
  </si>
  <si>
    <t>€  245265.16</t>
  </si>
  <si>
    <t>€  746.01</t>
  </si>
  <si>
    <t>€  512.00</t>
  </si>
  <si>
    <t>€  244753.16</t>
  </si>
  <si>
    <t>€  744.46</t>
  </si>
  <si>
    <t>€  513.56</t>
  </si>
  <si>
    <t>€  244239.60</t>
  </si>
  <si>
    <t>€  742.90</t>
  </si>
  <si>
    <t>€  515.12</t>
  </si>
  <si>
    <t>€  243724.48</t>
  </si>
  <si>
    <t>€  741.33</t>
  </si>
  <si>
    <t>€  516.69</t>
  </si>
  <si>
    <t>€  243207.80</t>
  </si>
  <si>
    <t>€  739.76</t>
  </si>
  <si>
    <t>€  518.26</t>
  </si>
  <si>
    <t>€  242689.54</t>
  </si>
  <si>
    <t>€  738.18</t>
  </si>
  <si>
    <t>€  519.83</t>
  </si>
  <si>
    <t>€  242169.71</t>
  </si>
  <si>
    <t>€  736.60</t>
  </si>
  <si>
    <t>€  521.41</t>
  </si>
  <si>
    <t>€  241648.29</t>
  </si>
  <si>
    <t>€  735.01</t>
  </si>
  <si>
    <t>€  523.00</t>
  </si>
  <si>
    <t>€  241125.29</t>
  </si>
  <si>
    <t>€  733.42</t>
  </si>
  <si>
    <t>€  524.59</t>
  </si>
  <si>
    <t>€  240600.70</t>
  </si>
  <si>
    <t>€  731.83</t>
  </si>
  <si>
    <t>€  526.19</t>
  </si>
  <si>
    <t>€  240074.52</t>
  </si>
  <si>
    <t>€  730.23</t>
  </si>
  <si>
    <t>€  527.79</t>
  </si>
  <si>
    <t>€  239546.73</t>
  </si>
  <si>
    <t>€  728.62</t>
  </si>
  <si>
    <t>€  529.39</t>
  </si>
  <si>
    <t>€  239017.34</t>
  </si>
  <si>
    <t>€  727.01</t>
  </si>
  <si>
    <t>€  531.00</t>
  </si>
  <si>
    <t>€  238486.33</t>
  </si>
  <si>
    <t>€  725.40</t>
  </si>
  <si>
    <t>€  532.62</t>
  </si>
  <si>
    <t>€  237953.72</t>
  </si>
  <si>
    <t>€  723.78</t>
  </si>
  <si>
    <t>€  534.24</t>
  </si>
  <si>
    <t>€  237419.48</t>
  </si>
  <si>
    <t>€  722.15</t>
  </si>
  <si>
    <t>€  535.86</t>
  </si>
  <si>
    <t>€  236883.62</t>
  </si>
  <si>
    <t>€  720.52</t>
  </si>
  <si>
    <t>€  537.49</t>
  </si>
  <si>
    <t>€  236346.12</t>
  </si>
  <si>
    <t>Visma</t>
  </si>
  <si>
    <t>Vakantiegeld</t>
  </si>
  <si>
    <t>Start loondienst</t>
  </si>
  <si>
    <t>Zuyd</t>
  </si>
  <si>
    <t>Einde loondienst</t>
  </si>
  <si>
    <t>Southernhill</t>
  </si>
  <si>
    <t>Vakantie geld</t>
  </si>
  <si>
    <t>Totaal per maand betalen</t>
  </si>
  <si>
    <t>Totaal sparen</t>
  </si>
  <si>
    <t>Maanden</t>
  </si>
  <si>
    <t>Schuld K.K</t>
  </si>
  <si>
    <t>Sparen</t>
  </si>
  <si>
    <t>Bedrag per maand</t>
  </si>
  <si>
    <t>Jaren</t>
  </si>
  <si>
    <t>Duo &amp; Notable IT</t>
  </si>
  <si>
    <t>Gemiddeld per maand</t>
  </si>
  <si>
    <t>werkgever</t>
  </si>
  <si>
    <t>opmerking</t>
  </si>
  <si>
    <t>inkomen</t>
  </si>
  <si>
    <t>maand</t>
  </si>
  <si>
    <t>A</t>
  </si>
  <si>
    <t>B</t>
  </si>
  <si>
    <t>Inkomstenbelasting 2025</t>
  </si>
  <si>
    <t>vul in</t>
  </si>
  <si>
    <t>Brutoloon</t>
  </si>
  <si>
    <t>Van</t>
  </si>
  <si>
    <t>Tot en met</t>
  </si>
  <si>
    <t>Bijtelling auto</t>
  </si>
  <si>
    <t>bruto Subtotaal</t>
  </si>
  <si>
    <t>Hypotheekrenteaftrek</t>
  </si>
  <si>
    <t>pensioen</t>
  </si>
  <si>
    <t>Premie AOV</t>
  </si>
  <si>
    <t>whk</t>
  </si>
  <si>
    <t>Pensioenpremie</t>
  </si>
  <si>
    <t>1 malige loonheffing</t>
  </si>
  <si>
    <t>Belastbaar inkomen box 1</t>
  </si>
  <si>
    <t>Inkomstenbelasting</t>
  </si>
  <si>
    <t>Bijdrage ZVW 2025</t>
  </si>
  <si>
    <t>brutoloon totaal</t>
  </si>
  <si>
    <t>Bruto dividend</t>
  </si>
  <si>
    <t>Fiscale partner? ja/nee</t>
  </si>
  <si>
    <t>nee</t>
  </si>
  <si>
    <t>Hoogste percentage DIB</t>
  </si>
  <si>
    <t>Dividendbelasting</t>
  </si>
  <si>
    <t>Arbeidskorting 2025</t>
  </si>
  <si>
    <t>Netto salaris</t>
  </si>
  <si>
    <t>Netto dividend</t>
  </si>
  <si>
    <t>Netto totaal in privé</t>
  </si>
  <si>
    <t>Besparing VPB</t>
  </si>
  <si>
    <t>Totale belasting</t>
  </si>
  <si>
    <t>Algemene heffingskorting 2025</t>
  </si>
  <si>
    <t>Verzamelinkomen box 1 + 2</t>
  </si>
  <si>
    <t>Winst moeder voor salaris</t>
  </si>
  <si>
    <t>Salaris DGA</t>
  </si>
  <si>
    <t>Dividendbelasting 2025 1 persoon</t>
  </si>
  <si>
    <t>Winst moeder na salaris</t>
  </si>
  <si>
    <t>Hoogste percentage VPB</t>
  </si>
  <si>
    <t>Dividendbelasting 2025 2 personen</t>
  </si>
  <si>
    <t>Vaste kosten</t>
  </si>
  <si>
    <t>Variabele kosten</t>
  </si>
  <si>
    <t>kosten</t>
  </si>
  <si>
    <t>extra inkomsten</t>
  </si>
  <si>
    <t>totaal inkomsten per maand</t>
  </si>
  <si>
    <t>Loon +  bonus</t>
  </si>
  <si>
    <t>loon + bonus</t>
  </si>
  <si>
    <t>tvabbo</t>
  </si>
  <si>
    <t>vanaf Maart</t>
  </si>
  <si>
    <t>groei in %</t>
  </si>
  <si>
    <t>scouting</t>
  </si>
  <si>
    <t>extra</t>
  </si>
  <si>
    <t>energie</t>
  </si>
  <si>
    <t>pc</t>
  </si>
  <si>
    <t>Schenking</t>
  </si>
  <si>
    <t>alimentatie</t>
  </si>
  <si>
    <t>Vloerverwarming</t>
  </si>
  <si>
    <t>Ramen</t>
  </si>
  <si>
    <t>muur isolatie</t>
  </si>
  <si>
    <t>60m2+24m2+24M2</t>
  </si>
  <si>
    <t>impregneren</t>
  </si>
  <si>
    <t>Warmtefonds volle pond</t>
  </si>
  <si>
    <t>bril</t>
  </si>
  <si>
    <t>drinkbak</t>
  </si>
  <si>
    <t>penning kapper</t>
  </si>
  <si>
    <t>boete</t>
  </si>
  <si>
    <t>vgz</t>
  </si>
  <si>
    <t>tulip</t>
  </si>
  <si>
    <t>Salaris schaal</t>
  </si>
  <si>
    <t>functiematrix</t>
  </si>
  <si>
    <t>schaal 10</t>
  </si>
  <si>
    <t>Naam</t>
  </si>
  <si>
    <t>Berekening</t>
  </si>
  <si>
    <t xml:space="preserve">Totalen 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</si>
  <si>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</si>
  <si>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</si>
  <si>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</si>
  <si>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</si>
  <si>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</si>
  <si>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</si>
  <si>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</si>
  <si>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</si>
  <si>
    <t>Totaal per maand</t>
  </si>
  <si>
    <t>Normaaltarief (per kWh)</t>
  </si>
  <si>
    <t>Gemiddled</t>
  </si>
  <si>
    <t>stroom</t>
  </si>
  <si>
    <t>Elektriciteit</t>
  </si>
  <si>
    <t>gas</t>
  </si>
  <si>
    <t>Energiebelasting</t>
  </si>
  <si>
    <t>Btw</t>
  </si>
  <si>
    <t>Termijn stroom</t>
  </si>
  <si>
    <t>Daltarief (per kWh)</t>
  </si>
  <si>
    <t xml:space="preserve">termijn bedrag gas </t>
  </si>
  <si>
    <t>Electriciteit</t>
  </si>
  <si>
    <t>Btw.</t>
  </si>
  <si>
    <t>Terugleververgoeding normaal (per kWh)</t>
  </si>
  <si>
    <t>8 Zonnepanelen</t>
  </si>
  <si>
    <t>€ 0,10000</t>
  </si>
  <si>
    <t>gebruik</t>
  </si>
  <si>
    <t>percentage van totaal</t>
  </si>
  <si>
    <t>opwek</t>
  </si>
  <si>
    <t>stroom inkoop</t>
  </si>
  <si>
    <t>kosten inkoop totaal</t>
  </si>
  <si>
    <t>kosten per maand inkoop met panelen</t>
  </si>
  <si>
    <t>kosten per maand zonder panelen</t>
  </si>
  <si>
    <t>Per jaar</t>
  </si>
  <si>
    <t>Terugleververgoeding dal (per kWh)</t>
  </si>
  <si>
    <t>dal</t>
  </si>
  <si>
    <t>normaal</t>
  </si>
  <si>
    <t>Vaste terugleveringskosten (per dag)</t>
  </si>
  <si>
    <t>€ 0,00000</t>
  </si>
  <si>
    <t xml:space="preserve">Verschil </t>
  </si>
  <si>
    <t>Vaste leveringskosten (per maand)</t>
  </si>
  <si>
    <t>Kosten investering</t>
  </si>
  <si>
    <t>winst per maand met investering</t>
  </si>
  <si>
    <t>Netbeheerkosten Enexis (per maand)</t>
  </si>
  <si>
    <t>uitgave per maand met zonnepanelen</t>
  </si>
  <si>
    <t>uitgave per maand zonder panelen</t>
  </si>
  <si>
    <t>Vermindering energiebelasting (per jaar)</t>
  </si>
  <si>
    <t>winst per maand met panelen</t>
  </si>
  <si>
    <t>Gas tarieven</t>
  </si>
  <si>
    <t>7 Zonnepanelen</t>
  </si>
  <si>
    <t>Tarief</t>
  </si>
  <si>
    <t>Gastarief (per m³)</t>
  </si>
  <si>
    <t>Gas</t>
  </si>
  <si>
    <t>uitgave per maand met zonnepanelen inclusief leveringskosten</t>
  </si>
  <si>
    <t>Vaste kosten stroom en gas</t>
  </si>
  <si>
    <t>Januari</t>
  </si>
  <si>
    <t>Februaru</t>
  </si>
  <si>
    <t>Maart</t>
  </si>
  <si>
    <t>April</t>
  </si>
  <si>
    <t>gemiddelde</t>
  </si>
  <si>
    <t>Per maand</t>
  </si>
  <si>
    <t>euro per maand</t>
  </si>
  <si>
    <t>Dal Kwh</t>
  </si>
  <si>
    <t xml:space="preserve">Dal gemiddelde </t>
  </si>
  <si>
    <t>normaal Kwh</t>
  </si>
  <si>
    <t>Normaal gemiddelde</t>
  </si>
  <si>
    <t>totaal Kwh</t>
  </si>
  <si>
    <t>Gas per jaar</t>
  </si>
  <si>
    <t>Inkoop stroom totaal kwh</t>
  </si>
  <si>
    <t>gem kosten per jaar</t>
  </si>
  <si>
    <t>inkoop stroom totaal euro</t>
  </si>
  <si>
    <t>totaal kosten (inkoop - teruglevering)</t>
  </si>
  <si>
    <t>totaal inkoop - teruglevering per maand</t>
  </si>
  <si>
    <t>warmtepomp Hesi 6200 euro</t>
  </si>
  <si>
    <t>Netto</t>
  </si>
  <si>
    <t>Bruto</t>
  </si>
  <si>
    <t>verschil hoogste laagste</t>
  </si>
  <si>
    <t>Bruto hoogste laagste</t>
  </si>
  <si>
    <t>verschil cumulatief van stap eerder</t>
  </si>
  <si>
    <t>Netto geschat</t>
  </si>
  <si>
    <t xml:space="preserve">gas </t>
  </si>
  <si>
    <t>elec</t>
  </si>
  <si>
    <t>Isolatie broeders</t>
  </si>
  <si>
    <t>bedrijf</t>
  </si>
  <si>
    <t>subsidie</t>
  </si>
  <si>
    <t>prijs</t>
  </si>
  <si>
    <t>omschrijving</t>
  </si>
  <si>
    <t>spauwmuur isolatie schuim</t>
  </si>
  <si>
    <t>Zon-X</t>
  </si>
  <si>
    <t>Panelen, hybride warmtepomp, full elec pomp</t>
  </si>
  <si>
    <t>ja</t>
  </si>
  <si>
    <t>?</t>
  </si>
  <si>
    <t>Uitgaves</t>
  </si>
  <si>
    <t>Vermindering elektra kosten (zonnepanelen + batterij)</t>
  </si>
  <si>
    <t>Besparing op gas met de hybride warmtepomp</t>
  </si>
  <si>
    <t>Dynamische handelswinsten thuisbatterij</t>
  </si>
  <si>
    <t>besparing</t>
  </si>
  <si>
    <t>lening warmte fonds</t>
  </si>
  <si>
    <t>Subsidie spauwmuur per m2</t>
  </si>
  <si>
    <t xml:space="preserve">totaal </t>
  </si>
  <si>
    <t>M2 spauwmuur isolatie</t>
  </si>
  <si>
    <t>voorraam</t>
  </si>
  <si>
    <t>Schuifpui</t>
  </si>
  <si>
    <t>Voordeur</t>
  </si>
  <si>
    <t>achterdeur beneden</t>
  </si>
  <si>
    <t>Achterraam boven</t>
  </si>
  <si>
    <t>Voorramen boven</t>
  </si>
  <si>
    <t xml:space="preserve">Subsidie </t>
  </si>
  <si>
    <t>Spauwmuur</t>
  </si>
  <si>
    <t>Kozijnen</t>
  </si>
  <si>
    <t>M2 glas</t>
  </si>
  <si>
    <t>Wamtepomp</t>
  </si>
  <si>
    <t>zonneplan</t>
  </si>
  <si>
    <t>alleen panelen</t>
  </si>
  <si>
    <t>Zonneplan</t>
  </si>
  <si>
    <t>panelen met batterij + meterkast</t>
  </si>
  <si>
    <t>Panelen +meterkast</t>
  </si>
  <si>
    <t>warmtepomp DUO</t>
  </si>
  <si>
    <t>warmtepomp Single</t>
  </si>
  <si>
    <t>batterij</t>
  </si>
  <si>
    <t>per maand</t>
  </si>
  <si>
    <t>Isotech maastricht</t>
  </si>
  <si>
    <t>Spauwmuur leeghalen en vullen</t>
  </si>
  <si>
    <t>ISDE</t>
  </si>
  <si>
    <t>Beste van alles</t>
  </si>
  <si>
    <t>Isotech</t>
  </si>
  <si>
    <t>Zon-X panelen</t>
  </si>
  <si>
    <t>Zon-X batterij</t>
  </si>
  <si>
    <t>warmtefonds</t>
  </si>
  <si>
    <t>Over:</t>
  </si>
  <si>
    <t>Zonneplan panelen</t>
  </si>
  <si>
    <t>energie besparing</t>
  </si>
  <si>
    <t>Zonnepanelen</t>
  </si>
  <si>
    <t>wamtefonds:</t>
  </si>
  <si>
    <t>Reinas</t>
  </si>
  <si>
    <t>kozijnen</t>
  </si>
  <si>
    <t>spauwmuur</t>
  </si>
  <si>
    <t>TOTAAL</t>
  </si>
  <si>
    <t>quat single</t>
  </si>
  <si>
    <t>single</t>
  </si>
  <si>
    <t>glas</t>
  </si>
  <si>
    <t>spauw</t>
  </si>
  <si>
    <t>gem heerlen</t>
  </si>
  <si>
    <t>nieuw netto</t>
  </si>
  <si>
    <t>warmtepomp</t>
  </si>
  <si>
    <t>spauw leegmaken</t>
  </si>
  <si>
    <t>Mega verduurzaming</t>
  </si>
  <si>
    <t>panelen + meterkast</t>
  </si>
  <si>
    <t>Bosch tronig 2102T 150 liter</t>
  </si>
  <si>
    <t>Lening Reina's</t>
  </si>
  <si>
    <t>Nieuwe stroom kosten</t>
  </si>
  <si>
    <t>nieuwe gas kosten</t>
  </si>
  <si>
    <t>beparing</t>
  </si>
  <si>
    <t>stroom 2026 dal</t>
  </si>
  <si>
    <t>stroom 2025 dal</t>
  </si>
  <si>
    <t>stroom 2025 normaal</t>
  </si>
  <si>
    <t>stroom 2026 normaal</t>
  </si>
  <si>
    <t>stroom dal teveel gerekend</t>
  </si>
  <si>
    <t>stroom normaal teveel gerekend</t>
  </si>
  <si>
    <t>gas 2025</t>
  </si>
  <si>
    <t>gas 2026</t>
  </si>
  <si>
    <t>gas 2026 tevel gerekend</t>
  </si>
  <si>
    <t>maat verduurzaming isolatie</t>
  </si>
  <si>
    <t>warmtebatterij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</si>
</sst>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€&quot;\ #,##0.00;[Red]&quot;€&quot;\ \-#,##0.00"/>
    <numFmt numFmtId="164" formatCode="_ &quot;€&quot;\ * #,##0_ ;_ &quot;€&quot;\ * \-#,##0_ ;_ &quot;€&quot;\ * &quot;-&quot;??_ ;_ @_ "/>
    <numFmt numFmtId="165" formatCode="0.0%"/>
    <numFmt numFmtId="166" formatCode="0.000%"/>
    <numFmt numFmtId="167" formatCode="0.0"/>
    <numFmt numFmtId="168" formatCode="&quot;€&quot;\ #,##0.00"/>
    <numFmt numFmtId="169" formatCode="&quot;€&quot;\ #,##0.00000"/>
    <numFmt numFmtId="170" formatCode="#,##0.00000"/>
    <numFmt numFmtId="171" formatCode="0.000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1"/>
      <color indexed="9"/>
      <name val="Calibri"/>
      <family val="2"/>
      <charset val="1"/>
    </font>
    <font>
      <b/>
      <sz val="11"/>
      <color indexed="8"/>
      <name val="Calibri"/>
      <family val="2"/>
    </font>
    <font>
      <sz val="8"/>
      <color indexed="8"/>
      <name val="Calibri"/>
      <family val="2"/>
      <charset val="1"/>
    </font>
    <font>
      <b/>
      <sz val="9"/>
      <name val="Tahoma"/>
      <family val="2"/>
    </font>
    <font>
      <sz val="9"/>
      <name val="Tahoma"/>
      <family val="2"/>
    </font>
    <font>
      <i/>
      <sz val="9"/>
      <name val="Tahoma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23"/>
        <bgColor indexed="54"/>
      </patternFill>
    </fill>
    <fill>
      <patternFill patternType="solid">
        <fgColor indexed="19"/>
        <bgColor indexed="57"/>
      </patternFill>
    </fill>
    <fill>
      <patternFill patternType="solid">
        <fgColor indexed="43"/>
        <bgColor indexed="47"/>
      </patternFill>
    </fill>
    <fill>
      <patternFill patternType="solid">
        <fgColor indexed="47"/>
        <bgColor indexed="43"/>
      </patternFill>
    </fill>
    <fill>
      <patternFill patternType="solid">
        <fgColor indexed="55"/>
        <bgColor indexed="19"/>
      </patternFill>
    </fill>
    <fill>
      <patternFill patternType="solid">
        <fgColor indexed="45"/>
        <bgColor indexed="47"/>
      </patternFill>
    </fill>
    <fill>
      <patternFill patternType="solid">
        <fgColor indexed="52"/>
        <bgColor indexed="53"/>
      </patternFill>
    </fill>
    <fill>
      <patternFill patternType="solid">
        <fgColor indexed="9"/>
        <bgColor indexed="26"/>
      </patternFill>
    </fill>
    <fill>
      <patternFill patternType="solid">
        <fgColor indexed="10"/>
        <bgColor indexed="60"/>
      </patternFill>
    </fill>
    <fill>
      <patternFill patternType="solid">
        <fgColor indexed="53"/>
        <bgColor indexed="60"/>
      </patternFill>
    </fill>
    <fill>
      <patternFill patternType="solid">
        <fgColor indexed="63"/>
        <bgColor indexed="59"/>
      </patternFill>
    </fill>
    <fill>
      <patternFill patternType="solid">
        <fgColor theme="2"/>
        <bgColor indexed="64"/>
      </patternFill>
    </fill>
    <fill>
      <patternFill patternType="solid">
        <fgColor rgb="FFE4D5FF"/>
        <bgColor indexed="64"/>
      </patternFill>
    </fill>
    <fill>
      <patternFill patternType="solid">
        <fgColor theme="0"/>
        <bgColor indexed="4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223">
    <xf numFmtId="0" fontId="0" fillId="0" borderId="0" xfId="0"/>
    <xf numFmtId="2" fontId="3" fillId="2" borderId="1" xfId="2" applyNumberFormat="1" applyFill="1" applyBorder="1"/>
    <xf numFmtId="2" fontId="3" fillId="2" borderId="2" xfId="2" applyNumberFormat="1" applyFill="1" applyBorder="1"/>
    <xf numFmtId="2" fontId="3" fillId="3" borderId="1" xfId="2" applyNumberFormat="1" applyFill="1" applyBorder="1"/>
    <xf numFmtId="2" fontId="3" fillId="3" borderId="2" xfId="2" applyNumberFormat="1" applyFill="1" applyBorder="1"/>
    <xf numFmtId="2" fontId="3" fillId="4" borderId="1" xfId="2" applyNumberFormat="1" applyFill="1" applyBorder="1"/>
    <xf numFmtId="2" fontId="3" fillId="4" borderId="3" xfId="2" applyNumberFormat="1" applyFill="1" applyBorder="1"/>
    <xf numFmtId="2" fontId="3" fillId="5" borderId="1" xfId="2" applyNumberFormat="1" applyFill="1" applyBorder="1"/>
    <xf numFmtId="2" fontId="3" fillId="5" borderId="2" xfId="2" applyNumberFormat="1" applyFill="1" applyBorder="1"/>
    <xf numFmtId="2" fontId="3" fillId="6" borderId="3" xfId="2" applyNumberFormat="1" applyFill="1" applyBorder="1"/>
    <xf numFmtId="2" fontId="3" fillId="6" borderId="2" xfId="2" applyNumberFormat="1" applyFill="1" applyBorder="1"/>
    <xf numFmtId="2" fontId="3" fillId="0" borderId="0" xfId="2" applyNumberFormat="1"/>
    <xf numFmtId="2" fontId="3" fillId="2" borderId="4" xfId="2" applyNumberFormat="1" applyFill="1" applyBorder="1"/>
    <xf numFmtId="2" fontId="3" fillId="2" borderId="5" xfId="2" applyNumberFormat="1" applyFill="1" applyBorder="1"/>
    <xf numFmtId="2" fontId="3" fillId="3" borderId="4" xfId="2" applyNumberFormat="1" applyFill="1" applyBorder="1"/>
    <xf numFmtId="2" fontId="3" fillId="3" borderId="5" xfId="2" applyNumberFormat="1" applyFill="1" applyBorder="1"/>
    <xf numFmtId="2" fontId="3" fillId="4" borderId="4" xfId="2" applyNumberFormat="1" applyFill="1" applyBorder="1"/>
    <xf numFmtId="2" fontId="3" fillId="4" borderId="0" xfId="2" applyNumberFormat="1" applyFill="1"/>
    <xf numFmtId="2" fontId="3" fillId="5" borderId="4" xfId="2" applyNumberFormat="1" applyFill="1" applyBorder="1"/>
    <xf numFmtId="2" fontId="3" fillId="5" borderId="5" xfId="2" applyNumberFormat="1" applyFill="1" applyBorder="1"/>
    <xf numFmtId="2" fontId="3" fillId="6" borderId="0" xfId="2" applyNumberFormat="1" applyFill="1"/>
    <xf numFmtId="2" fontId="3" fillId="6" borderId="5" xfId="2" applyNumberFormat="1" applyFill="1" applyBorder="1"/>
    <xf numFmtId="2" fontId="3" fillId="0" borderId="6" xfId="2" applyNumberFormat="1" applyBorder="1"/>
    <xf numFmtId="2" fontId="3" fillId="0" borderId="7" xfId="2" applyNumberFormat="1" applyBorder="1"/>
    <xf numFmtId="2" fontId="3" fillId="0" borderId="8" xfId="2" applyNumberFormat="1" applyBorder="1"/>
    <xf numFmtId="2" fontId="3" fillId="0" borderId="9" xfId="2" applyNumberFormat="1" applyBorder="1"/>
    <xf numFmtId="2" fontId="3" fillId="0" borderId="10" xfId="2" applyNumberFormat="1" applyBorder="1"/>
    <xf numFmtId="2" fontId="3" fillId="0" borderId="11" xfId="2" applyNumberFormat="1" applyBorder="1"/>
    <xf numFmtId="2" fontId="0" fillId="0" borderId="0" xfId="0" applyNumberFormat="1"/>
    <xf numFmtId="2" fontId="3" fillId="6" borderId="4" xfId="2" applyNumberFormat="1" applyFill="1" applyBorder="1"/>
    <xf numFmtId="2" fontId="3" fillId="2" borderId="12" xfId="2" applyNumberFormat="1" applyFill="1" applyBorder="1"/>
    <xf numFmtId="2" fontId="3" fillId="2" borderId="13" xfId="2" applyNumberFormat="1" applyFill="1" applyBorder="1"/>
    <xf numFmtId="2" fontId="3" fillId="3" borderId="12" xfId="2" applyNumberFormat="1" applyFill="1" applyBorder="1"/>
    <xf numFmtId="2" fontId="3" fillId="3" borderId="13" xfId="2" applyNumberFormat="1" applyFill="1" applyBorder="1"/>
    <xf numFmtId="2" fontId="3" fillId="4" borderId="12" xfId="2" applyNumberFormat="1" applyFill="1" applyBorder="1"/>
    <xf numFmtId="2" fontId="3" fillId="4" borderId="14" xfId="2" applyNumberFormat="1" applyFill="1" applyBorder="1"/>
    <xf numFmtId="2" fontId="3" fillId="5" borderId="12" xfId="2" applyNumberFormat="1" applyFill="1" applyBorder="1"/>
    <xf numFmtId="2" fontId="3" fillId="5" borderId="13" xfId="2" applyNumberFormat="1" applyFill="1" applyBorder="1"/>
    <xf numFmtId="2" fontId="3" fillId="0" borderId="1" xfId="2" applyNumberFormat="1" applyBorder="1"/>
    <xf numFmtId="2" fontId="3" fillId="7" borderId="2" xfId="2" applyNumberFormat="1" applyFill="1" applyBorder="1"/>
    <xf numFmtId="2" fontId="3" fillId="8" borderId="2" xfId="2" applyNumberFormat="1" applyFill="1" applyBorder="1"/>
    <xf numFmtId="2" fontId="3" fillId="7" borderId="3" xfId="2" applyNumberFormat="1" applyFill="1" applyBorder="1"/>
    <xf numFmtId="2" fontId="3" fillId="0" borderId="15" xfId="2" applyNumberFormat="1" applyBorder="1"/>
    <xf numFmtId="2" fontId="4" fillId="0" borderId="16" xfId="2" applyNumberFormat="1" applyFont="1" applyBorder="1"/>
    <xf numFmtId="2" fontId="5" fillId="4" borderId="17" xfId="2" applyNumberFormat="1" applyFont="1" applyFill="1" applyBorder="1"/>
    <xf numFmtId="2" fontId="3" fillId="0" borderId="17" xfId="2" applyNumberFormat="1" applyBorder="1"/>
    <xf numFmtId="2" fontId="3" fillId="0" borderId="4" xfId="2" applyNumberFormat="1" applyBorder="1"/>
    <xf numFmtId="2" fontId="4" fillId="0" borderId="18" xfId="2" applyNumberFormat="1" applyFont="1" applyBorder="1"/>
    <xf numFmtId="2" fontId="5" fillId="4" borderId="5" xfId="2" applyNumberFormat="1" applyFont="1" applyFill="1" applyBorder="1"/>
    <xf numFmtId="2" fontId="3" fillId="0" borderId="5" xfId="2" applyNumberFormat="1" applyBorder="1"/>
    <xf numFmtId="2" fontId="3" fillId="0" borderId="12" xfId="2" applyNumberFormat="1" applyBorder="1"/>
    <xf numFmtId="2" fontId="4" fillId="0" borderId="19" xfId="2" applyNumberFormat="1" applyFont="1" applyBorder="1"/>
    <xf numFmtId="2" fontId="5" fillId="4" borderId="13" xfId="2" applyNumberFormat="1" applyFont="1" applyFill="1" applyBorder="1"/>
    <xf numFmtId="2" fontId="3" fillId="0" borderId="13" xfId="2" applyNumberFormat="1" applyBorder="1"/>
    <xf numFmtId="2" fontId="6" fillId="6" borderId="4" xfId="2" applyNumberFormat="1" applyFont="1" applyFill="1" applyBorder="1"/>
    <xf numFmtId="2" fontId="6" fillId="6" borderId="5" xfId="2" applyNumberFormat="1" applyFont="1" applyFill="1" applyBorder="1"/>
    <xf numFmtId="2" fontId="3" fillId="0" borderId="0" xfId="2" applyNumberFormat="1" applyAlignment="1">
      <alignment wrapText="1"/>
    </xf>
    <xf numFmtId="2" fontId="3" fillId="8" borderId="20" xfId="2" applyNumberFormat="1" applyFill="1" applyBorder="1" applyAlignment="1">
      <alignment horizontal="right" vertical="top"/>
    </xf>
    <xf numFmtId="2" fontId="7" fillId="0" borderId="0" xfId="2" applyNumberFormat="1" applyFont="1" applyAlignment="1">
      <alignment wrapText="1"/>
    </xf>
    <xf numFmtId="2" fontId="3" fillId="0" borderId="16" xfId="2" applyNumberFormat="1" applyBorder="1"/>
    <xf numFmtId="2" fontId="5" fillId="4" borderId="16" xfId="2" applyNumberFormat="1" applyFont="1" applyFill="1" applyBorder="1" applyAlignment="1">
      <alignment wrapText="1"/>
    </xf>
    <xf numFmtId="2" fontId="3" fillId="0" borderId="16" xfId="2" applyNumberFormat="1" applyBorder="1" applyAlignment="1">
      <alignment wrapText="1"/>
    </xf>
    <xf numFmtId="2" fontId="3" fillId="9" borderId="15" xfId="2" applyNumberFormat="1" applyFill="1" applyBorder="1"/>
    <xf numFmtId="2" fontId="3" fillId="9" borderId="17" xfId="2" applyNumberFormat="1" applyFill="1" applyBorder="1"/>
    <xf numFmtId="2" fontId="3" fillId="0" borderId="18" xfId="2" applyNumberFormat="1" applyBorder="1"/>
    <xf numFmtId="2" fontId="5" fillId="4" borderId="18" xfId="2" applyNumberFormat="1" applyFont="1" applyFill="1" applyBorder="1"/>
    <xf numFmtId="2" fontId="3" fillId="9" borderId="4" xfId="2" applyNumberFormat="1" applyFill="1" applyBorder="1"/>
    <xf numFmtId="2" fontId="3" fillId="9" borderId="5" xfId="2" applyNumberFormat="1" applyFill="1" applyBorder="1"/>
    <xf numFmtId="2" fontId="3" fillId="0" borderId="20" xfId="2" applyNumberFormat="1" applyBorder="1"/>
    <xf numFmtId="2" fontId="3" fillId="0" borderId="2" xfId="2" applyNumberFormat="1" applyBorder="1"/>
    <xf numFmtId="2" fontId="5" fillId="4" borderId="20" xfId="2" applyNumberFormat="1" applyFont="1" applyFill="1" applyBorder="1"/>
    <xf numFmtId="2" fontId="4" fillId="0" borderId="20" xfId="2" applyNumberFormat="1" applyFont="1" applyBorder="1"/>
    <xf numFmtId="2" fontId="3" fillId="10" borderId="21" xfId="2" applyNumberFormat="1" applyFill="1" applyBorder="1"/>
    <xf numFmtId="2" fontId="3" fillId="10" borderId="22" xfId="2" applyNumberFormat="1" applyFill="1" applyBorder="1"/>
    <xf numFmtId="2" fontId="3" fillId="5" borderId="8" xfId="2" applyNumberFormat="1" applyFill="1" applyBorder="1"/>
    <xf numFmtId="2" fontId="3" fillId="5" borderId="9" xfId="2" applyNumberFormat="1" applyFill="1" applyBorder="1"/>
    <xf numFmtId="2" fontId="3" fillId="0" borderId="20" xfId="2" applyNumberFormat="1" applyBorder="1" applyAlignment="1">
      <alignment wrapText="1"/>
    </xf>
    <xf numFmtId="2" fontId="5" fillId="4" borderId="16" xfId="2" applyNumberFormat="1" applyFont="1" applyFill="1" applyBorder="1"/>
    <xf numFmtId="2" fontId="3" fillId="5" borderId="10" xfId="2" applyNumberFormat="1" applyFill="1" applyBorder="1"/>
    <xf numFmtId="2" fontId="3" fillId="5" borderId="11" xfId="2" applyNumberFormat="1" applyFill="1" applyBorder="1"/>
    <xf numFmtId="2" fontId="3" fillId="0" borderId="19" xfId="2" applyNumberFormat="1" applyBorder="1"/>
    <xf numFmtId="2" fontId="5" fillId="4" borderId="19" xfId="2" applyNumberFormat="1" applyFont="1" applyFill="1" applyBorder="1"/>
    <xf numFmtId="2" fontId="3" fillId="8" borderId="19" xfId="2" applyNumberFormat="1" applyFill="1" applyBorder="1"/>
    <xf numFmtId="2" fontId="5" fillId="11" borderId="2" xfId="2" applyNumberFormat="1" applyFont="1" applyFill="1" applyBorder="1"/>
    <xf numFmtId="2" fontId="5" fillId="12" borderId="5" xfId="2" applyNumberFormat="1" applyFont="1" applyFill="1" applyBorder="1"/>
    <xf numFmtId="2" fontId="5" fillId="13" borderId="13" xfId="2" applyNumberFormat="1" applyFont="1" applyFill="1" applyBorder="1"/>
    <xf numFmtId="1" fontId="0" fillId="0" borderId="0" xfId="0" applyNumberFormat="1"/>
    <xf numFmtId="0" fontId="0" fillId="0" borderId="11" xfId="0" applyBorder="1"/>
    <xf numFmtId="0" fontId="0" fillId="0" borderId="23" xfId="0" applyBorder="1"/>
    <xf numFmtId="17" fontId="0" fillId="0" borderId="10" xfId="0" applyNumberFormat="1" applyBorder="1"/>
    <xf numFmtId="0" fontId="0" fillId="0" borderId="9" xfId="0" applyBorder="1"/>
    <xf numFmtId="17" fontId="0" fillId="0" borderId="8" xfId="0" applyNumberFormat="1" applyBorder="1"/>
    <xf numFmtId="0" fontId="0" fillId="0" borderId="7" xfId="0" applyBorder="1"/>
    <xf numFmtId="0" fontId="0" fillId="0" borderId="24" xfId="0" applyBorder="1"/>
    <xf numFmtId="17" fontId="0" fillId="0" borderId="6" xfId="0" applyNumberFormat="1" applyBorder="1"/>
    <xf numFmtId="0" fontId="0" fillId="0" borderId="25" xfId="0" applyBorder="1"/>
    <xf numFmtId="0" fontId="0" fillId="0" borderId="26" xfId="0" applyBorder="1"/>
    <xf numFmtId="1" fontId="0" fillId="0" borderId="26" xfId="0" applyNumberFormat="1" applyBorder="1"/>
    <xf numFmtId="0" fontId="0" fillId="0" borderId="27" xfId="0" applyBorder="1"/>
    <xf numFmtId="0" fontId="0" fillId="0" borderId="10" xfId="0" applyBorder="1"/>
    <xf numFmtId="0" fontId="0" fillId="0" borderId="8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" fontId="0" fillId="0" borderId="28" xfId="0" applyNumberFormat="1" applyBorder="1"/>
    <xf numFmtId="1" fontId="0" fillId="0" borderId="29" xfId="0" applyNumberFormat="1" applyBorder="1"/>
    <xf numFmtId="1" fontId="0" fillId="0" borderId="30" xfId="0" applyNumberFormat="1" applyBorder="1"/>
    <xf numFmtId="1" fontId="0" fillId="0" borderId="25" xfId="0" applyNumberFormat="1" applyBorder="1"/>
    <xf numFmtId="164" fontId="2" fillId="0" borderId="0" xfId="0" applyNumberFormat="1" applyFont="1" applyAlignment="1">
      <alignment horizontal="center"/>
    </xf>
    <xf numFmtId="4" fontId="8" fillId="0" borderId="0" xfId="0" applyNumberFormat="1" applyFont="1"/>
    <xf numFmtId="4" fontId="9" fillId="0" borderId="0" xfId="0" applyNumberFormat="1" applyFont="1"/>
    <xf numFmtId="0" fontId="9" fillId="0" borderId="0" xfId="0" applyFont="1"/>
    <xf numFmtId="164" fontId="0" fillId="14" borderId="32" xfId="0" applyNumberFormat="1" applyFill="1" applyBorder="1"/>
    <xf numFmtId="4" fontId="10" fillId="15" borderId="33" xfId="0" applyNumberFormat="1" applyFont="1" applyFill="1" applyBorder="1" applyAlignment="1">
      <alignment horizontal="right"/>
    </xf>
    <xf numFmtId="4" fontId="10" fillId="15" borderId="34" xfId="0" applyNumberFormat="1" applyFont="1" applyFill="1" applyBorder="1" applyAlignment="1">
      <alignment horizontal="right"/>
    </xf>
    <xf numFmtId="4" fontId="9" fillId="15" borderId="34" xfId="0" applyNumberFormat="1" applyFont="1" applyFill="1" applyBorder="1"/>
    <xf numFmtId="0" fontId="9" fillId="15" borderId="34" xfId="0" applyFont="1" applyFill="1" applyBorder="1"/>
    <xf numFmtId="0" fontId="9" fillId="15" borderId="35" xfId="0" applyFont="1" applyFill="1" applyBorder="1"/>
    <xf numFmtId="4" fontId="9" fillId="15" borderId="36" xfId="0" applyNumberFormat="1" applyFont="1" applyFill="1" applyBorder="1"/>
    <xf numFmtId="4" fontId="9" fillId="15" borderId="0" xfId="0" applyNumberFormat="1" applyFont="1" applyFill="1"/>
    <xf numFmtId="10" fontId="9" fillId="15" borderId="37" xfId="0" applyNumberFormat="1" applyFont="1" applyFill="1" applyBorder="1"/>
    <xf numFmtId="4" fontId="0" fillId="0" borderId="0" xfId="0" applyNumberFormat="1"/>
    <xf numFmtId="4" fontId="9" fillId="15" borderId="38" xfId="0" applyNumberFormat="1" applyFont="1" applyFill="1" applyBorder="1"/>
    <xf numFmtId="4" fontId="9" fillId="15" borderId="39" xfId="0" applyNumberFormat="1" applyFont="1" applyFill="1" applyBorder="1"/>
    <xf numFmtId="10" fontId="9" fillId="15" borderId="40" xfId="0" applyNumberFormat="1" applyFont="1" applyFill="1" applyBorder="1"/>
    <xf numFmtId="9" fontId="9" fillId="0" borderId="0" xfId="0" applyNumberFormat="1" applyFont="1"/>
    <xf numFmtId="164" fontId="0" fillId="0" borderId="0" xfId="0" applyNumberFormat="1"/>
    <xf numFmtId="10" fontId="9" fillId="15" borderId="37" xfId="1" applyNumberFormat="1" applyFont="1" applyFill="1" applyBorder="1"/>
    <xf numFmtId="1" fontId="0" fillId="14" borderId="32" xfId="0" applyNumberFormat="1" applyFill="1" applyBorder="1" applyAlignment="1">
      <alignment horizontal="center"/>
    </xf>
    <xf numFmtId="165" fontId="0" fillId="0" borderId="0" xfId="1" applyNumberFormat="1" applyFont="1"/>
    <xf numFmtId="0" fontId="0" fillId="0" borderId="34" xfId="0" applyBorder="1"/>
    <xf numFmtId="164" fontId="0" fillId="0" borderId="34" xfId="0" applyNumberFormat="1" applyBorder="1"/>
    <xf numFmtId="166" fontId="9" fillId="15" borderId="37" xfId="0" applyNumberFormat="1" applyFont="1" applyFill="1" applyBorder="1"/>
    <xf numFmtId="0" fontId="2" fillId="0" borderId="0" xfId="0" applyFont="1"/>
    <xf numFmtId="164" fontId="2" fillId="0" borderId="0" xfId="0" applyNumberFormat="1" applyFont="1"/>
    <xf numFmtId="166" fontId="9" fillId="15" borderId="40" xfId="0" applyNumberFormat="1" applyFont="1" applyFill="1" applyBorder="1"/>
    <xf numFmtId="2" fontId="9" fillId="15" borderId="37" xfId="0" applyNumberFormat="1" applyFont="1" applyFill="1" applyBorder="1"/>
    <xf numFmtId="165" fontId="9" fillId="15" borderId="37" xfId="1" applyNumberFormat="1" applyFont="1" applyFill="1" applyBorder="1"/>
    <xf numFmtId="165" fontId="9" fillId="15" borderId="40" xfId="0" applyNumberFormat="1" applyFont="1" applyFill="1" applyBorder="1"/>
    <xf numFmtId="0" fontId="0" fillId="0" borderId="6" xfId="0" applyBorder="1"/>
    <xf numFmtId="2" fontId="0" fillId="0" borderId="25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11" xfId="0" applyNumberFormat="1" applyBorder="1"/>
    <xf numFmtId="1" fontId="0" fillId="0" borderId="24" xfId="0" applyNumberFormat="1" applyBorder="1"/>
    <xf numFmtId="1" fontId="0" fillId="0" borderId="23" xfId="0" applyNumberFormat="1" applyBorder="1"/>
    <xf numFmtId="167" fontId="0" fillId="0" borderId="30" xfId="0" applyNumberFormat="1" applyBorder="1"/>
    <xf numFmtId="167" fontId="0" fillId="0" borderId="29" xfId="0" applyNumberFormat="1" applyBorder="1"/>
    <xf numFmtId="2" fontId="3" fillId="16" borderId="9" xfId="2" applyNumberFormat="1" applyFill="1" applyBorder="1"/>
    <xf numFmtId="2" fontId="3" fillId="10" borderId="6" xfId="2" applyNumberFormat="1" applyFill="1" applyBorder="1"/>
    <xf numFmtId="2" fontId="3" fillId="10" borderId="7" xfId="2" applyNumberFormat="1" applyFill="1" applyBorder="1"/>
    <xf numFmtId="2" fontId="3" fillId="5" borderId="6" xfId="2" applyNumberFormat="1" applyFill="1" applyBorder="1"/>
    <xf numFmtId="2" fontId="3" fillId="5" borderId="7" xfId="2" applyNumberFormat="1" applyFill="1" applyBorder="1"/>
    <xf numFmtId="2" fontId="5" fillId="4" borderId="0" xfId="2" applyNumberFormat="1" applyFont="1" applyFill="1" applyAlignment="1">
      <alignment wrapText="1"/>
    </xf>
    <xf numFmtId="2" fontId="5" fillId="4" borderId="0" xfId="2" applyNumberFormat="1" applyFont="1" applyFill="1"/>
    <xf numFmtId="2" fontId="5" fillId="12" borderId="0" xfId="2" applyNumberFormat="1" applyFont="1" applyFill="1"/>
    <xf numFmtId="2" fontId="5" fillId="13" borderId="0" xfId="2" applyNumberFormat="1" applyFont="1" applyFill="1"/>
    <xf numFmtId="2" fontId="11" fillId="6" borderId="4" xfId="2" applyNumberFormat="1" applyFont="1" applyFill="1" applyBorder="1"/>
    <xf numFmtId="2" fontId="12" fillId="6" borderId="5" xfId="2" applyNumberFormat="1" applyFont="1" applyFill="1" applyBorder="1"/>
    <xf numFmtId="168" fontId="0" fillId="0" borderId="0" xfId="0" applyNumberFormat="1"/>
    <xf numFmtId="169" fontId="2" fillId="0" borderId="0" xfId="0" applyNumberFormat="1" applyFont="1"/>
    <xf numFmtId="170" fontId="2" fillId="0" borderId="0" xfId="0" applyNumberFormat="1" applyFont="1"/>
    <xf numFmtId="0" fontId="2" fillId="0" borderId="6" xfId="0" applyFont="1" applyBorder="1"/>
    <xf numFmtId="171" fontId="0" fillId="0" borderId="24" xfId="0" applyNumberFormat="1" applyBorder="1"/>
    <xf numFmtId="171" fontId="0" fillId="0" borderId="27" xfId="0" applyNumberFormat="1" applyBorder="1"/>
    <xf numFmtId="0" fontId="2" fillId="0" borderId="26" xfId="0" applyFont="1" applyBorder="1"/>
    <xf numFmtId="0" fontId="2" fillId="0" borderId="25" xfId="0" applyFont="1" applyBorder="1"/>
    <xf numFmtId="0" fontId="2" fillId="0" borderId="8" xfId="0" applyFont="1" applyBorder="1"/>
    <xf numFmtId="171" fontId="0" fillId="0" borderId="0" xfId="0" applyNumberFormat="1"/>
    <xf numFmtId="171" fontId="2" fillId="0" borderId="6" xfId="0" applyNumberFormat="1" applyFont="1" applyBorder="1"/>
    <xf numFmtId="171" fontId="2" fillId="0" borderId="8" xfId="0" applyNumberFormat="1" applyFont="1" applyBorder="1"/>
    <xf numFmtId="171" fontId="2" fillId="0" borderId="10" xfId="0" applyNumberFormat="1" applyFont="1" applyBorder="1"/>
    <xf numFmtId="171" fontId="2" fillId="0" borderId="23" xfId="0" applyNumberFormat="1" applyFont="1" applyBorder="1"/>
    <xf numFmtId="0" fontId="2" fillId="0" borderId="7" xfId="0" applyFont="1" applyBorder="1"/>
    <xf numFmtId="171" fontId="0" fillId="0" borderId="6" xfId="0" applyNumberFormat="1" applyBorder="1"/>
    <xf numFmtId="171" fontId="0" fillId="0" borderId="10" xfId="0" applyNumberFormat="1" applyBorder="1"/>
    <xf numFmtId="171" fontId="0" fillId="0" borderId="9" xfId="0" applyNumberFormat="1" applyBorder="1"/>
    <xf numFmtId="2" fontId="0" fillId="0" borderId="6" xfId="0" applyNumberFormat="1" applyBorder="1"/>
    <xf numFmtId="2" fontId="2" fillId="0" borderId="24" xfId="0" applyNumberFormat="1" applyFont="1" applyBorder="1"/>
    <xf numFmtId="2" fontId="2" fillId="0" borderId="7" xfId="0" applyNumberFormat="1" applyFont="1" applyBorder="1"/>
    <xf numFmtId="2" fontId="2" fillId="0" borderId="8" xfId="0" applyNumberFormat="1" applyFont="1" applyBorder="1"/>
    <xf numFmtId="2" fontId="2" fillId="17" borderId="10" xfId="0" applyNumberFormat="1" applyFont="1" applyFill="1" applyBorder="1"/>
    <xf numFmtId="2" fontId="0" fillId="17" borderId="23" xfId="0" applyNumberFormat="1" applyFill="1" applyBorder="1"/>
    <xf numFmtId="2" fontId="0" fillId="17" borderId="11" xfId="0" applyNumberFormat="1" applyFill="1" applyBorder="1"/>
    <xf numFmtId="2" fontId="2" fillId="0" borderId="6" xfId="0" applyNumberFormat="1" applyFont="1" applyBorder="1"/>
    <xf numFmtId="2" fontId="2" fillId="0" borderId="10" xfId="0" applyNumberFormat="1" applyFont="1" applyBorder="1"/>
    <xf numFmtId="2" fontId="2" fillId="18" borderId="6" xfId="0" applyNumberFormat="1" applyFont="1" applyFill="1" applyBorder="1"/>
    <xf numFmtId="2" fontId="0" fillId="18" borderId="7" xfId="0" applyNumberFormat="1" applyFill="1" applyBorder="1"/>
    <xf numFmtId="0" fontId="0" fillId="18" borderId="30" xfId="0" applyFill="1" applyBorder="1"/>
    <xf numFmtId="2" fontId="2" fillId="19" borderId="8" xfId="0" applyNumberFormat="1" applyFont="1" applyFill="1" applyBorder="1"/>
    <xf numFmtId="2" fontId="0" fillId="19" borderId="9" xfId="0" applyNumberFormat="1" applyFill="1" applyBorder="1"/>
    <xf numFmtId="0" fontId="0" fillId="19" borderId="29" xfId="0" applyFill="1" applyBorder="1"/>
    <xf numFmtId="2" fontId="2" fillId="20" borderId="10" xfId="0" applyNumberFormat="1" applyFont="1" applyFill="1" applyBorder="1"/>
    <xf numFmtId="2" fontId="0" fillId="20" borderId="11" xfId="0" applyNumberFormat="1" applyFill="1" applyBorder="1"/>
    <xf numFmtId="0" fontId="0" fillId="20" borderId="28" xfId="0" applyFill="1" applyBorder="1"/>
    <xf numFmtId="0" fontId="2" fillId="0" borderId="10" xfId="0" applyFont="1" applyBorder="1"/>
    <xf numFmtId="171" fontId="0" fillId="0" borderId="23" xfId="0" applyNumberFormat="1" applyBorder="1"/>
    <xf numFmtId="171" fontId="0" fillId="0" borderId="11" xfId="0" applyNumberFormat="1" applyBorder="1"/>
    <xf numFmtId="169" fontId="0" fillId="0" borderId="0" xfId="0" applyNumberFormat="1"/>
    <xf numFmtId="170" fontId="0" fillId="0" borderId="0" xfId="0" applyNumberFormat="1"/>
    <xf numFmtId="169" fontId="2" fillId="0" borderId="24" xfId="0" applyNumberFormat="1" applyFont="1" applyBorder="1"/>
    <xf numFmtId="170" fontId="2" fillId="0" borderId="24" xfId="0" applyNumberFormat="1" applyFont="1" applyBorder="1"/>
    <xf numFmtId="0" fontId="2" fillId="0" borderId="24" xfId="0" applyFont="1" applyBorder="1"/>
    <xf numFmtId="0" fontId="2" fillId="0" borderId="27" xfId="0" applyFont="1" applyBorder="1"/>
    <xf numFmtId="0" fontId="2" fillId="0" borderId="30" xfId="0" applyFont="1" applyBorder="1"/>
    <xf numFmtId="2" fontId="0" fillId="0" borderId="29" xfId="0" applyNumberFormat="1" applyBorder="1"/>
    <xf numFmtId="2" fontId="0" fillId="0" borderId="23" xfId="0" applyNumberFormat="1" applyBorder="1"/>
    <xf numFmtId="2" fontId="2" fillId="0" borderId="0" xfId="0" applyNumberFormat="1" applyFont="1"/>
    <xf numFmtId="2" fontId="0" fillId="17" borderId="0" xfId="0" applyNumberFormat="1" applyFill="1"/>
    <xf numFmtId="0" fontId="2" fillId="0" borderId="11" xfId="0" applyFont="1" applyBorder="1"/>
    <xf numFmtId="2" fontId="0" fillId="20" borderId="0" xfId="0" applyNumberFormat="1" applyFill="1"/>
    <xf numFmtId="2" fontId="3" fillId="0" borderId="6" xfId="2" applyNumberFormat="1" applyBorder="1" applyAlignment="1">
      <alignment wrapText="1"/>
    </xf>
    <xf numFmtId="2" fontId="3" fillId="0" borderId="24" xfId="2" applyNumberFormat="1" applyBorder="1" applyAlignment="1">
      <alignment wrapText="1"/>
    </xf>
    <xf numFmtId="2" fontId="3" fillId="0" borderId="8" xfId="2" applyNumberFormat="1" applyBorder="1" applyAlignment="1">
      <alignment wrapText="1"/>
    </xf>
    <xf numFmtId="2" fontId="3" fillId="0" borderId="10" xfId="2" applyNumberFormat="1" applyBorder="1" applyAlignment="1">
      <alignment wrapText="1"/>
    </xf>
    <xf numFmtId="2" fontId="3" fillId="0" borderId="23" xfId="2" applyNumberFormat="1" applyBorder="1" applyAlignment="1">
      <alignment wrapText="1"/>
    </xf>
    <xf numFmtId="2" fontId="0" fillId="0" borderId="24" xfId="0" applyNumberFormat="1" applyBorder="1"/>
    <xf numFmtId="8" fontId="0" fillId="0" borderId="8" xfId="0" applyNumberFormat="1" applyBorder="1" applyAlignment="1">
      <alignment wrapText="1"/>
    </xf>
    <xf numFmtId="3" fontId="0" fillId="0" borderId="0" xfId="0" applyNumberFormat="1"/>
    <xf numFmtId="4" fontId="0" fillId="0" borderId="9" xfId="0" applyNumberFormat="1" applyBorder="1"/>
    <xf numFmtId="0" fontId="0" fillId="0" borderId="0" xfId="0" applyAlignment="1">
      <alignment horizontal="center"/>
    </xf>
    <xf numFmtId="0" fontId="0" fillId="0" borderId="9" xfId="0" applyFill="1" applyBorder="1"/>
  </cellXfs>
  <cellStyles count="3">
    <cellStyle name="Excel Built-in Normal" xfId="2" xr:uid="{52D4CD86-318C-474C-9CB2-04B226D1D80C}"/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Netto</a:t>
            </a:r>
            <a:r>
              <a:rPr lang="en-US" baseline="0"/>
              <a:t> i</a:t>
            </a:r>
            <a:r>
              <a:rPr lang="en-US"/>
              <a:t>nkomen per jaar &amp; gemiddelde per maand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5.6222770928378761E-2"/>
          <c:y val="0.12508528598929325"/>
          <c:w val="0.93245343235947686"/>
          <c:h val="0.453366743769554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'Loonstijging 2021-2030'!$F$3</c:f>
              <c:strCache>
                <c:ptCount val="1"/>
                <c:pt idx="0">
                  <c:v>2018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'Loonstijging 2021-2030'!$G$2:$H$2</c:f>
              <c:strCache>
                <c:ptCount val="2"/>
                <c:pt idx="0">
                  <c:v>Totaal</c:v>
                </c:pt>
                <c:pt idx="1">
                  <c:v>Gemiddeld per maand</c:v>
                </c:pt>
              </c:strCache>
            </c:strRef>
          </c:cat>
          <c:val>
            <c:numRef>
              <c:f>'Loonstijging 2021-2030'!$G$3:$H$3</c:f>
              <c:numCache>
                <c:formatCode>0</c:formatCode>
                <c:ptCount val="2"/>
                <c:pt idx="0" formatCode="General">
                  <c:v>19200</c:v>
                </c:pt>
                <c:pt idx="1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D-4150-BB2B-FD906442045C}"/>
            </c:ext>
          </c:extLst>
        </c:ser>
        <c:ser>
          <c:idx val="1"/>
          <c:order val="1"/>
          <c:tx>
            <c:strRef>
              <c:f>'Loonstijging 2021-2030'!$F$4</c:f>
              <c:strCache>
                <c:ptCount val="1"/>
                <c:pt idx="0">
                  <c:v>2019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'Loonstijging 2021-2030'!$G$2:$H$2</c:f>
              <c:strCache>
                <c:ptCount val="2"/>
                <c:pt idx="0">
                  <c:v>Totaal</c:v>
                </c:pt>
                <c:pt idx="1">
                  <c:v>Gemiddeld per maand</c:v>
                </c:pt>
              </c:strCache>
            </c:strRef>
          </c:cat>
          <c:val>
            <c:numRef>
              <c:f>'Loonstijging 2021-2030'!$G$4:$H$4</c:f>
              <c:numCache>
                <c:formatCode>0</c:formatCode>
                <c:ptCount val="2"/>
                <c:pt idx="0" formatCode="General">
                  <c:v>22300</c:v>
                </c:pt>
                <c:pt idx="1">
                  <c:v>1858.3333333333333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0D-4150-BB2B-FD906442045C}"/>
            </c:ext>
          </c:extLst>
        </c:ser>
        <c:ser>
          <c:idx val="2"/>
          <c:order val="2"/>
          <c:tx>
            <c:strRef>
              <c:f>'Loonstijging 2021-2030'!$F$5</c:f>
              <c:strCache>
                <c:ptCount val="1"/>
                <c:pt idx="0">
                  <c:v>2020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'Loonstijging 2021-2030'!$G$2:$H$2</c:f>
              <c:strCache>
                <c:ptCount val="2"/>
                <c:pt idx="0">
                  <c:v>Totaal</c:v>
                </c:pt>
                <c:pt idx="1">
                  <c:v>Gemiddeld per maand</c:v>
                </c:pt>
              </c:strCache>
            </c:strRef>
          </c:cat>
          <c:val>
            <c:numRef>
              <c:f>'Loonstijging 2021-2030'!$G$5:$H$5</c:f>
              <c:numCache>
                <c:formatCode>0</c:formatCode>
                <c:ptCount val="2"/>
                <c:pt idx="0" formatCode="General">
                  <c:v>25600</c:v>
                </c:pt>
                <c:pt idx="1">
                  <c:v>2133.3333333333335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0D-4150-BB2B-FD906442045C}"/>
            </c:ext>
          </c:extLst>
        </c:ser>
        <c:ser>
          <c:idx val="3"/>
          <c:order val="3"/>
          <c:tx>
            <c:strRef>
              <c:f>'Loonstijging 2021-2030'!$F$6</c:f>
              <c:strCache>
                <c:ptCount val="1"/>
                <c:pt idx="0">
                  <c:v>2021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'Loonstijging 2021-2030'!$G$2:$H$2</c:f>
              <c:strCache>
                <c:ptCount val="2"/>
                <c:pt idx="0">
                  <c:v>Totaal</c:v>
                </c:pt>
                <c:pt idx="1">
                  <c:v>Gemiddeld per maand</c:v>
                </c:pt>
              </c:strCache>
            </c:strRef>
          </c:cat>
          <c:val>
            <c:numRef>
              <c:f>'Loonstijging 2021-2030'!$G$6:$H$6</c:f>
              <c:numCache>
                <c:formatCode>0</c:formatCode>
                <c:ptCount val="2"/>
                <c:pt idx="0" formatCode="General">
                  <c:v>30471</c:v>
                </c:pt>
                <c:pt idx="1">
                  <c:v>2539.25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0D-4150-BB2B-FD906442045C}"/>
            </c:ext>
          </c:extLst>
        </c:ser>
        <c:ser>
          <c:idx val="4"/>
          <c:order val="4"/>
          <c:tx>
            <c:strRef>
              <c:f>'Loonstijging 2021-2030'!$F$7</c:f>
              <c:strCache>
                <c:ptCount val="1"/>
                <c:pt idx="0">
                  <c:v>2022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'Loonstijging 2021-2030'!$G$2:$H$2</c:f>
              <c:strCache>
                <c:ptCount val="2"/>
                <c:pt idx="0">
                  <c:v>Totaal</c:v>
                </c:pt>
                <c:pt idx="1">
                  <c:v>Gemiddeld per maand</c:v>
                </c:pt>
              </c:strCache>
            </c:strRef>
          </c:cat>
          <c:val>
            <c:numRef>
              <c:f>'Loonstijging 2021-2030'!$G$7:$H$7</c:f>
              <c:numCache>
                <c:formatCode>0</c:formatCode>
                <c:ptCount val="2"/>
                <c:pt idx="0" formatCode="General">
                  <c:v>34615</c:v>
                </c:pt>
                <c:pt idx="1">
                  <c:v>2884.5833333333335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0D-4150-BB2B-FD906442045C}"/>
            </c:ext>
          </c:extLst>
        </c:ser>
        <c:ser>
          <c:idx val="5"/>
          <c:order val="5"/>
          <c:tx>
            <c:strRef>
              <c:f>'Loonstijging 2021-2030'!$F$8</c:f>
              <c:strCache>
                <c:ptCount val="1"/>
                <c:pt idx="0">
                  <c:v>2023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'Loonstijging 2021-2030'!$G$2:$H$2</c:f>
              <c:strCache>
                <c:ptCount val="2"/>
                <c:pt idx="0">
                  <c:v>Totaal</c:v>
                </c:pt>
                <c:pt idx="1">
                  <c:v>Gemiddeld per maand</c:v>
                </c:pt>
              </c:strCache>
            </c:strRef>
          </c:cat>
          <c:val>
            <c:numRef>
              <c:f>'Loonstijging 2021-2030'!$G$8:$H$8</c:f>
              <c:numCache>
                <c:formatCode>0</c:formatCode>
                <c:ptCount val="2"/>
                <c:pt idx="0" formatCode="General">
                  <c:v>41982</c:v>
                </c:pt>
                <c:pt idx="1">
                  <c:v>3498.5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0D-4150-BB2B-FD906442045C}"/>
            </c:ext>
          </c:extLst>
        </c:ser>
        <c:ser>
          <c:idx val="6"/>
          <c:order val="6"/>
          <c:tx>
            <c:strRef>
              <c:f>'Loonstijging 2021-2030'!$F$9</c:f>
              <c:strCache>
                <c:ptCount val="1"/>
                <c:pt idx="0">
                  <c:v>2024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'Loonstijging 2021-2030'!$G$2:$H$2</c:f>
              <c:strCache>
                <c:ptCount val="2"/>
                <c:pt idx="0">
                  <c:v>Totaal</c:v>
                </c:pt>
                <c:pt idx="1">
                  <c:v>Gemiddeld per maand</c:v>
                </c:pt>
              </c:strCache>
            </c:strRef>
          </c:cat>
          <c:val>
            <c:numRef>
              <c:f>'Loonstijging 2021-2030'!$G$9:$H$9</c:f>
              <c:numCache>
                <c:formatCode>0</c:formatCode>
                <c:ptCount val="2"/>
                <c:pt idx="0" formatCode="General">
                  <c:v>45123</c:v>
                </c:pt>
                <c:pt idx="1">
                  <c:v>3760.25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0D-4150-BB2B-FD906442045C}"/>
            </c:ext>
          </c:extLst>
        </c:ser>
        <c:ser>
          <c:idx val="7"/>
          <c:order val="7"/>
          <c:tx>
            <c:strRef>
              <c:f>'Loonstijging 2021-2030'!$F$10</c:f>
              <c:strCache>
                <c:ptCount val="1"/>
                <c:pt idx="0">
                  <c:v>2025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'Loonstijging 2021-2030'!$G$2:$H$2</c:f>
              <c:strCache>
                <c:ptCount val="2"/>
                <c:pt idx="0">
                  <c:v>Totaal</c:v>
                </c:pt>
                <c:pt idx="1">
                  <c:v>Gemiddeld per maand</c:v>
                </c:pt>
              </c:strCache>
            </c:strRef>
          </c:cat>
          <c:val>
            <c:numRef>
              <c:f>'Loonstijging 2021-2030'!$G$10:$H$10</c:f>
              <c:numCache>
                <c:formatCode>0</c:formatCode>
                <c:ptCount val="2"/>
                <c:pt idx="0" formatCode="General">
                  <c:v>47024</c:v>
                </c:pt>
                <c:pt idx="1">
                  <c:v>3918.6666666666665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0D-4150-BB2B-FD906442045C}"/>
            </c:ext>
          </c:extLst>
        </c:ser>
        <c:ser>
          <c:idx val="8"/>
          <c:order val="8"/>
          <c:tx>
            <c:strRef>
              <c:f>'Loonstijging 2021-2030'!$F$11</c:f>
              <c:strCache>
                <c:ptCount val="1"/>
                <c:pt idx="0">
                  <c:v>2026</c:v>
                </c:pt>
              </c:strCache>
            </c:strRef>
          </c:tx>
          <c:spPr>
            <a:noFill/>
            <a:ln w="9525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>
              <a:glow rad="63500">
                <a:schemeClr val="accent3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'Loonstijging 2021-2030'!$G$2:$H$2</c:f>
              <c:strCache>
                <c:ptCount val="2"/>
                <c:pt idx="0">
                  <c:v>Totaal</c:v>
                </c:pt>
                <c:pt idx="1">
                  <c:v>Gemiddeld per maand</c:v>
                </c:pt>
              </c:strCache>
            </c:strRef>
          </c:cat>
          <c:val>
            <c:numRef>
              <c:f>'Loonstijging 2021-2030'!$G$11:$H$11</c:f>
              <c:numCache>
                <c:formatCode>0</c:formatCode>
                <c:ptCount val="2"/>
                <c:pt idx="0" formatCode="General">
                  <c:v>48830</c:v>
                </c:pt>
                <c:pt idx="1">
                  <c:v>4069.1666666666665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0D-4150-BB2B-FD906442045C}"/>
            </c:ext>
          </c:extLst>
        </c:ser>
        <c:ser>
          <c:idx val="9"/>
          <c:order val="9"/>
          <c:tx>
            <c:strRef>
              <c:f>'Loonstijging 2021-2030'!$F$12</c:f>
              <c:strCache>
                <c:ptCount val="1"/>
                <c:pt idx="0">
                  <c:v>2027</c:v>
                </c:pt>
              </c:strCache>
            </c:strRef>
          </c:tx>
          <c:spPr>
            <a:noFill/>
            <a:ln w="9525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>
              <a:glow rad="63500">
                <a:schemeClr val="accent4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'Loonstijging 2021-2030'!$G$2:$H$2</c:f>
              <c:strCache>
                <c:ptCount val="2"/>
                <c:pt idx="0">
                  <c:v>Totaal</c:v>
                </c:pt>
                <c:pt idx="1">
                  <c:v>Gemiddeld per maand</c:v>
                </c:pt>
              </c:strCache>
            </c:strRef>
          </c:cat>
          <c:val>
            <c:numRef>
              <c:f>'Loonstijging 2021-2030'!$G$12:$H$12</c:f>
              <c:numCache>
                <c:formatCode>0</c:formatCode>
                <c:ptCount val="2"/>
                <c:pt idx="0">
                  <c:v>50310</c:v>
                </c:pt>
                <c:pt idx="1">
                  <c:v>4192.5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0D-4150-BB2B-FD906442045C}"/>
            </c:ext>
          </c:extLst>
        </c:ser>
        <c:ser>
          <c:idx val="10"/>
          <c:order val="10"/>
          <c:tx>
            <c:strRef>
              <c:f>'Loonstijging 2021-2030'!$F$13</c:f>
              <c:strCache>
                <c:ptCount val="1"/>
                <c:pt idx="0">
                  <c:v>2028</c:v>
                </c:pt>
              </c:strCache>
            </c:strRef>
          </c:tx>
          <c:spPr>
            <a:noFill/>
            <a:ln w="9525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>
              <a:glow rad="63500">
                <a:schemeClr val="accent5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'Loonstijging 2021-2030'!$G$2:$H$2</c:f>
              <c:strCache>
                <c:ptCount val="2"/>
                <c:pt idx="0">
                  <c:v>Totaal</c:v>
                </c:pt>
                <c:pt idx="1">
                  <c:v>Gemiddeld per maand</c:v>
                </c:pt>
              </c:strCache>
            </c:strRef>
          </c:cat>
          <c:val>
            <c:numRef>
              <c:f>'Loonstijging 2021-2030'!$G$13:$H$13</c:f>
              <c:numCache>
                <c:formatCode>0</c:formatCode>
                <c:ptCount val="2"/>
                <c:pt idx="0">
                  <c:v>51820</c:v>
                </c:pt>
                <c:pt idx="1">
                  <c:v>4318.333333333333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0D-4150-BB2B-FD906442045C}"/>
            </c:ext>
          </c:extLst>
        </c:ser>
        <c:ser>
          <c:idx val="11"/>
          <c:order val="11"/>
          <c:tx>
            <c:strRef>
              <c:f>'Loonstijging 2021-2030'!$F$14</c:f>
              <c:strCache>
                <c:ptCount val="1"/>
                <c:pt idx="0">
                  <c:v>2029</c:v>
                </c:pt>
              </c:strCache>
            </c:strRef>
          </c:tx>
          <c:spPr>
            <a:noFill/>
            <a:ln w="9525" cap="flat" cmpd="sng" algn="ctr">
              <a:solidFill>
                <a:schemeClr val="accent6">
                  <a:lumMod val="60000"/>
                </a:schemeClr>
              </a:solidFill>
              <a:miter lim="800000"/>
            </a:ln>
            <a:effectLst>
              <a:glow rad="63500">
                <a:schemeClr val="accent6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'Loonstijging 2021-2030'!$G$2:$H$2</c:f>
              <c:strCache>
                <c:ptCount val="2"/>
                <c:pt idx="0">
                  <c:v>Totaal</c:v>
                </c:pt>
                <c:pt idx="1">
                  <c:v>Gemiddeld per maand</c:v>
                </c:pt>
              </c:strCache>
            </c:strRef>
          </c:cat>
          <c:val>
            <c:numRef>
              <c:f>'Loonstijging 2021-2030'!$G$14:$H$14</c:f>
              <c:numCache>
                <c:formatCode>0</c:formatCode>
                <c:ptCount val="2"/>
                <c:pt idx="0">
                  <c:v>52974</c:v>
                </c:pt>
                <c:pt idx="1">
                  <c:v>4414.5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0D-4150-BB2B-FD906442045C}"/>
            </c:ext>
          </c:extLst>
        </c:ser>
        <c:ser>
          <c:idx val="12"/>
          <c:order val="12"/>
          <c:tx>
            <c:strRef>
              <c:f>'Loonstijging 2021-2030'!$F$15</c:f>
              <c:strCache>
                <c:ptCount val="1"/>
                <c:pt idx="0">
                  <c:v>2030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80000"/>
                  <a:lumOff val="20000"/>
                </a:schemeClr>
              </a:solidFill>
              <a:miter lim="800000"/>
            </a:ln>
            <a:effectLst>
              <a:glow rad="63500">
                <a:schemeClr val="accent1">
                  <a:lumMod val="80000"/>
                  <a:lumOff val="2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'Loonstijging 2021-2030'!$G$2:$H$2</c:f>
              <c:strCache>
                <c:ptCount val="2"/>
                <c:pt idx="0">
                  <c:v>Totaal</c:v>
                </c:pt>
                <c:pt idx="1">
                  <c:v>Gemiddeld per maand</c:v>
                </c:pt>
              </c:strCache>
            </c:strRef>
          </c:cat>
          <c:val>
            <c:numRef>
              <c:f>'Loonstijging 2021-2030'!$G$15:$H$15</c:f>
              <c:numCache>
                <c:formatCode>0</c:formatCode>
                <c:ptCount val="2"/>
                <c:pt idx="0">
                  <c:v>53783</c:v>
                </c:pt>
                <c:pt idx="1">
                  <c:v>4481.916666666667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0D-4150-BB2B-FD90644204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447990048"/>
        <c:axId val="1447991488"/>
      </c:barChart>
      <c:catAx>
        <c:axId val="14479900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47991488"/>
        <c:crosses val="autoZero"/>
        <c:auto val="1"/>
        <c:lblAlgn val="ctr"/>
        <c:lblOffset val="100"/>
        <c:noMultiLvlLbl val="0"/>
      </c:catAx>
      <c:valAx>
        <c:axId val="1447991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47990048"/>
        <c:crosses val="autoZero"/>
        <c:crossBetween val="between"/>
        <c:majorUnit val="5000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</c:dTable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2196498260839957E-2"/>
          <c:y val="4.6601774111014869E-2"/>
          <c:w val="0.9295328458606178"/>
          <c:h val="5.8582026191435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Netto</a:t>
            </a:r>
            <a:r>
              <a:rPr lang="en-US" baseline="0"/>
              <a:t> i</a:t>
            </a:r>
            <a:r>
              <a:rPr lang="en-US"/>
              <a:t>nkomen per</a:t>
            </a:r>
            <a:r>
              <a:rPr lang="en-US" baseline="0"/>
              <a:t> j</a:t>
            </a:r>
            <a:r>
              <a:rPr lang="en-US"/>
              <a:t>aar en gemiddeld per maand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1.3719184497105468E-2"/>
          <c:y val="0.11903781500275876"/>
          <c:w val="0.96227224263295996"/>
          <c:h val="0.73130692201530567"/>
        </c:manualLayout>
      </c:layout>
      <c:lineChart>
        <c:grouping val="standard"/>
        <c:varyColors val="0"/>
        <c:ser>
          <c:idx val="0"/>
          <c:order val="0"/>
          <c:tx>
            <c:strRef>
              <c:f>'Loonstijging 2021-2030'!$G$2</c:f>
              <c:strCache>
                <c:ptCount val="1"/>
                <c:pt idx="0">
                  <c:v>Totaal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'Loonstijging 2021-2030'!$F$3:$F$15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'Loonstijging 2021-2030'!$G$3:$G$15</c:f>
              <c:numCache>
                <c:formatCode>General</c:formatCode>
                <c:ptCount val="13"/>
                <c:pt idx="0">
                  <c:v>19200</c:v>
                </c:pt>
                <c:pt idx="1">
                  <c:v>22300</c:v>
                </c:pt>
                <c:pt idx="2">
                  <c:v>25600</c:v>
                </c:pt>
                <c:pt idx="3">
                  <c:v>30471</c:v>
                </c:pt>
                <c:pt idx="4">
                  <c:v>34615</c:v>
                </c:pt>
                <c:pt idx="5">
                  <c:v>41982</c:v>
                </c:pt>
                <c:pt idx="6">
                  <c:v>45123</c:v>
                </c:pt>
                <c:pt idx="7">
                  <c:v>47024</c:v>
                </c:pt>
                <c:pt idx="8">
                  <c:v>48830</c:v>
                </c:pt>
                <c:pt idx="9" formatCode="0">
                  <c:v>50310</c:v>
                </c:pt>
                <c:pt idx="10" formatCode="0">
                  <c:v>51820</c:v>
                </c:pt>
                <c:pt idx="11" formatCode="0">
                  <c:v>52974</c:v>
                </c:pt>
                <c:pt idx="12" formatCode="0">
                  <c:v>53783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7-4B56-9212-5C1BD9CBEF10}"/>
            </c:ext>
          </c:extLst>
        </c:ser>
        <c:ser>
          <c:idx val="1"/>
          <c:order val="1"/>
          <c:tx>
            <c:strRef>
              <c:f>'Loonstijging 2021-2030'!$H$2</c:f>
              <c:strCache>
                <c:ptCount val="1"/>
                <c:pt idx="0">
                  <c:v>Gemiddeld per maand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'Loonstijging 2021-2030'!$F$3:$F$15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'Loonstijging 2021-2030'!$H$3:$H$15</c:f>
              <c:numCache>
                <c:formatCode>0</c:formatCode>
                <c:ptCount val="13"/>
                <c:pt idx="0">
                  <c:v>1600</c:v>
                </c:pt>
                <c:pt idx="1">
                  <c:v>1858.3333333333333</c:v>
                </c:pt>
                <c:pt idx="2">
                  <c:v>2133.3333333333335</c:v>
                </c:pt>
                <c:pt idx="3">
                  <c:v>2539.25</c:v>
                </c:pt>
                <c:pt idx="4">
                  <c:v>2884.5833333333335</c:v>
                </c:pt>
                <c:pt idx="5">
                  <c:v>3498.5</c:v>
                </c:pt>
                <c:pt idx="6">
                  <c:v>3760.25</c:v>
                </c:pt>
                <c:pt idx="7">
                  <c:v>3918.6666666666665</c:v>
                </c:pt>
                <c:pt idx="8">
                  <c:v>4069.1666666666665</c:v>
                </c:pt>
                <c:pt idx="9">
                  <c:v>4192.5</c:v>
                </c:pt>
                <c:pt idx="10">
                  <c:v>4318.333333333333</c:v>
                </c:pt>
                <c:pt idx="11">
                  <c:v>4414.5</c:v>
                </c:pt>
                <c:pt idx="12">
                  <c:v>4481.916666666667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7-4B56-9212-5C1BD9CBEF10}"/>
            </c:ext>
          </c:extLst>
        </c:ser>
        <c:ser>
          <c:idx val="2"/>
          <c:order val="2"/>
          <c:tx>
            <c:v>Kosten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'Loonstijging 2021-2030'!$F$3:$F$15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'Loonstijging 2021-2030'!$J$3:$J$15</c:f>
              <c:numCache>
                <c:formatCode>0.00</c:formatCode>
                <c:ptCount val="13"/>
                <c:pt idx="0">
                  <c:v>3922.46</c:v>
                </c:pt>
                <c:pt idx="1">
                  <c:v>3922.46</c:v>
                </c:pt>
                <c:pt idx="2">
                  <c:v>3922.46</c:v>
                </c:pt>
                <c:pt idx="3">
                  <c:v>3922.46</c:v>
                </c:pt>
                <c:pt idx="4">
                  <c:v>3922.46</c:v>
                </c:pt>
                <c:pt idx="5">
                  <c:v>3922.46</c:v>
                </c:pt>
                <c:pt idx="6">
                  <c:v>3922.46</c:v>
                </c:pt>
                <c:pt idx="7">
                  <c:v>3922.46</c:v>
                </c:pt>
                <c:pt idx="8">
                  <c:v>3922.46</c:v>
                </c:pt>
                <c:pt idx="9">
                  <c:v>3922.46</c:v>
                </c:pt>
                <c:pt idx="10">
                  <c:v>3922.46</c:v>
                </c:pt>
                <c:pt idx="11">
                  <c:v>3922.46</c:v>
                </c:pt>
                <c:pt idx="12">
                  <c:v>3922.46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C7-4B56-9212-5C1BD9CBEF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23689263"/>
        <c:axId val="1123710863"/>
      </c:lineChart>
      <c:catAx>
        <c:axId val="11236892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23710863"/>
        <c:crosses val="autoZero"/>
        <c:auto val="1"/>
        <c:lblAlgn val="ctr"/>
        <c:lblOffset val="100"/>
        <c:noMultiLvlLbl val="0"/>
      </c:catAx>
      <c:valAx>
        <c:axId val="11237108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236892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</c:dTable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60592412888961"/>
          <c:y val="6.4369306582745311E-2"/>
          <c:w val="0.29710586305926001"/>
          <c:h val="3.5781656074351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Netto</a:t>
            </a:r>
            <a:r>
              <a:rPr lang="en-US" baseline="0"/>
              <a:t> i</a:t>
            </a:r>
            <a:r>
              <a:rPr lang="en-US"/>
              <a:t>nkomen vs kosten per maand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1.3719184497105468E-2"/>
          <c:y val="0.11903781500275876"/>
          <c:w val="0.96227224263295996"/>
          <c:h val="0.73130692201530567"/>
        </c:manualLayout>
      </c:layout>
      <c:lineChart>
        <c:grouping val="standard"/>
        <c:varyColors val="0"/>
        <c:ser>
          <c:idx val="1"/>
          <c:order val="1"/>
          <c:tx>
            <c:strRef>
              <c:f>'Loonstijging 2021-2030'!$H$2</c:f>
              <c:strCache>
                <c:ptCount val="1"/>
                <c:pt idx="0">
                  <c:v>Gemiddeld per maand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'Loonstijging 2021-2030'!$F$3:$F$15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'Loonstijging 2021-2030'!$L$3:$L$15</c:f>
              <c:numCache>
                <c:formatCode>0</c:formatCode>
                <c:ptCount val="13"/>
                <c:pt idx="0">
                  <c:v>1600</c:v>
                </c:pt>
                <c:pt idx="1">
                  <c:v>1858.3333333333333</c:v>
                </c:pt>
                <c:pt idx="2">
                  <c:v>2133.3333333333335</c:v>
                </c:pt>
                <c:pt idx="3">
                  <c:v>2539.25</c:v>
                </c:pt>
                <c:pt idx="4">
                  <c:v>2884.5833333333335</c:v>
                </c:pt>
                <c:pt idx="5">
                  <c:v>3498.5</c:v>
                </c:pt>
                <c:pt idx="6">
                  <c:v>3760.25</c:v>
                </c:pt>
                <c:pt idx="7">
                  <c:v>4168.6666666666661</c:v>
                </c:pt>
                <c:pt idx="8">
                  <c:v>4319.1666666666661</c:v>
                </c:pt>
                <c:pt idx="9">
                  <c:v>4442.5</c:v>
                </c:pt>
                <c:pt idx="10">
                  <c:v>4568.333333333333</c:v>
                </c:pt>
                <c:pt idx="11">
                  <c:v>4664.5</c:v>
                </c:pt>
                <c:pt idx="12">
                  <c:v>4731.916666666667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16-475D-BC25-90F7B81F8324}"/>
            </c:ext>
          </c:extLst>
        </c:ser>
        <c:ser>
          <c:idx val="2"/>
          <c:order val="2"/>
          <c:tx>
            <c:v>Kosten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'Loonstijging 2021-2030'!$F$3:$F$15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'Loonstijging 2021-2030'!$J$3:$J$15</c:f>
              <c:numCache>
                <c:formatCode>0.00</c:formatCode>
                <c:ptCount val="13"/>
                <c:pt idx="0">
                  <c:v>3922.46</c:v>
                </c:pt>
                <c:pt idx="1">
                  <c:v>3922.46</c:v>
                </c:pt>
                <c:pt idx="2">
                  <c:v>3922.46</c:v>
                </c:pt>
                <c:pt idx="3">
                  <c:v>3922.46</c:v>
                </c:pt>
                <c:pt idx="4">
                  <c:v>3922.46</c:v>
                </c:pt>
                <c:pt idx="5">
                  <c:v>3922.46</c:v>
                </c:pt>
                <c:pt idx="6">
                  <c:v>3922.46</c:v>
                </c:pt>
                <c:pt idx="7">
                  <c:v>3922.46</c:v>
                </c:pt>
                <c:pt idx="8">
                  <c:v>3922.46</c:v>
                </c:pt>
                <c:pt idx="9">
                  <c:v>3922.46</c:v>
                </c:pt>
                <c:pt idx="10">
                  <c:v>3922.46</c:v>
                </c:pt>
                <c:pt idx="11">
                  <c:v>3922.46</c:v>
                </c:pt>
                <c:pt idx="12">
                  <c:v>3922.46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16-475D-BC25-90F7B81F83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23689263"/>
        <c:axId val="112371086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'Loonstijging 2021-2030'!$G$2</c15:sqref>
                        </c15:formulaRef>
                      </c:ext>
                    </c:extLst>
                    <c:strCache>
                      <c:ptCount val="1"/>
                      <c:pt idx="0">
                        <c:v>Totaal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l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'Loonstijging 2021-2030'!$F$3:$F$15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'Loonstijging 2021-2030'!$G$3:$G$15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19200</c:v>
                      </c:pt>
                      <c:pt idx="1">
                        <c:v>22300</c:v>
                      </c:pt>
                      <c:pt idx="2">
                        <c:v>25600</c:v>
                      </c:pt>
                      <c:pt idx="3">
                        <c:v>30471</c:v>
                      </c:pt>
                      <c:pt idx="4">
                        <c:v>34615</c:v>
                      </c:pt>
                      <c:pt idx="5">
                        <c:v>41982</c:v>
                      </c:pt>
                      <c:pt idx="6">
                        <c:v>45123</c:v>
                      </c:pt>
                      <c:pt idx="7">
                        <c:v>47024</c:v>
                      </c:pt>
                      <c:pt idx="8">
                        <c:v>48830</c:v>
                      </c:pt>
                      <c:pt idx="9" formatCode="0">
                        <c:v>50310</c:v>
                      </c:pt>
                      <c:pt idx="10" formatCode="0">
                        <c:v>51820</c:v>
                      </c:pt>
                      <c:pt idx="11" formatCode="0">
                        <c:v>52974</c:v>
                      </c:pt>
                      <c:pt idx="12" formatCode="0">
                        <c:v>53783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216-475D-BC25-90F7B81F8324}"/>
                  </c:ext>
                </c:extLst>
              </c15:ser>
            </c15:filteredLineSeries>
          </c:ext>
        </c:extLst>
      </c:lineChart>
      <c:catAx>
        <c:axId val="11236892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23710863"/>
        <c:crosses val="autoZero"/>
        <c:auto val="1"/>
        <c:lblAlgn val="ctr"/>
        <c:lblOffset val="100"/>
        <c:noMultiLvlLbl val="0"/>
      </c:catAx>
      <c:valAx>
        <c:axId val="11237108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236892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</c:dTable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60592412888961"/>
          <c:y val="6.4369306582745311E-2"/>
          <c:w val="0.29710586305926001"/>
          <c:h val="3.5781656074351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Basistabel!$A$10:$I$10</c:f>
              <c:strCache>
                <c:ptCount val="9"/>
                <c:pt idx="0">
                  <c:v>spaargeld </c:v>
                </c:pt>
                <c:pt idx="1">
                  <c:v>0,00</c:v>
                </c:pt>
                <c:pt idx="2">
                  <c:v>afbetaling krien</c:v>
                </c:pt>
                <c:pt idx="3">
                  <c:v>0,00</c:v>
                </c:pt>
                <c:pt idx="4">
                  <c:v>alimentatie</c:v>
                </c:pt>
                <c:pt idx="5">
                  <c:v>420,00</c:v>
                </c:pt>
                <c:pt idx="6">
                  <c:v>kinder geb budget</c:v>
                </c:pt>
                <c:pt idx="7">
                  <c:v>0,00</c:v>
                </c:pt>
                <c:pt idx="8">
                  <c:v>auto verzek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Basistabel!$J$1:$M$9</c:f>
              <c:multiLvlStrCache>
                <c:ptCount val="4"/>
                <c:lvl>
                  <c:pt idx="0">
                    <c:v>184,78</c:v>
                  </c:pt>
                  <c:pt idx="3">
                    <c:v>2 kind op mijn naam met kinderbijslag</c:v>
                  </c:pt>
                </c:lvl>
                <c:lvl>
                  <c:pt idx="0">
                    <c:v>39,24</c:v>
                  </c:pt>
                  <c:pt idx="3">
                    <c:v>kinder gebonden budget</c:v>
                  </c:pt>
                </c:lvl>
                <c:lvl>
                  <c:pt idx="0">
                    <c:v>72,66</c:v>
                  </c:pt>
                </c:lvl>
                <c:lvl>
                  <c:pt idx="0">
                    <c:v>60,00</c:v>
                  </c:pt>
                  <c:pt idx="2">
                    <c:v>sophie</c:v>
                  </c:pt>
                  <c:pt idx="3">
                    <c:v>200,00</c:v>
                  </c:pt>
                </c:lvl>
                <c:lvl>
                  <c:pt idx="0">
                    <c:v>33,76</c:v>
                  </c:pt>
                  <c:pt idx="2">
                    <c:v>lucas</c:v>
                  </c:pt>
                  <c:pt idx="3">
                    <c:v>200,00</c:v>
                  </c:pt>
                </c:lvl>
                <c:lvl>
                  <c:pt idx="0">
                    <c:v>42,50</c:v>
                  </c:pt>
                  <c:pt idx="2">
                    <c:v>sem</c:v>
                  </c:pt>
                  <c:pt idx="3">
                    <c:v>259,00</c:v>
                  </c:pt>
                </c:lvl>
                <c:lvl>
                  <c:pt idx="0">
                    <c:v>250,00</c:v>
                  </c:pt>
                  <c:pt idx="1">
                    <c:v>110,00</c:v>
                  </c:pt>
                  <c:pt idx="3">
                    <c:v>1 kind op mijn naam met kinderbijslag</c:v>
                  </c:pt>
                </c:lvl>
                <c:lvl>
                  <c:pt idx="0">
                    <c:v>1256,09</c:v>
                  </c:pt>
                  <c:pt idx="3">
                    <c:v>kinder gebonden budget</c:v>
                  </c:pt>
                </c:lvl>
              </c:multiLvlStrCache>
            </c:multiLvlStrRef>
          </c:cat>
          <c:val>
            <c:numRef>
              <c:f>Basistabel!$J$10:$M$10</c:f>
              <c:numCache>
                <c:formatCode>0.00</c:formatCode>
                <c:ptCount val="4"/>
                <c:pt idx="0">
                  <c:v>40</c:v>
                </c:pt>
                <c:pt idx="2">
                  <c:v>0</c:v>
                </c:pt>
                <c:pt idx="3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D-4E9B-A801-7F67082B6201}"/>
            </c:ext>
          </c:extLst>
        </c:ser>
        <c:ser>
          <c:idx val="1"/>
          <c:order val="1"/>
          <c:tx>
            <c:strRef>
              <c:f>Basistabel!$A$11:$I$11</c:f>
              <c:strCache>
                <c:ptCount val="9"/>
                <c:pt idx="0">
                  <c:v>spaargeld </c:v>
                </c:pt>
                <c:pt idx="1">
                  <c:v>0,00</c:v>
                </c:pt>
                <c:pt idx="2">
                  <c:v>afbetaling krien</c:v>
                </c:pt>
                <c:pt idx="3">
                  <c:v>0,00</c:v>
                </c:pt>
                <c:pt idx="4">
                  <c:v>alimentatie</c:v>
                </c:pt>
                <c:pt idx="5">
                  <c:v>420,00</c:v>
                </c:pt>
                <c:pt idx="6">
                  <c:v>kinder geb budget</c:v>
                </c:pt>
                <c:pt idx="7">
                  <c:v>0,00</c:v>
                </c:pt>
                <c:pt idx="8">
                  <c:v>wegenbelasting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Basistabel!$J$1:$M$9</c:f>
              <c:multiLvlStrCache>
                <c:ptCount val="4"/>
                <c:lvl>
                  <c:pt idx="0">
                    <c:v>184,78</c:v>
                  </c:pt>
                  <c:pt idx="3">
                    <c:v>2 kind op mijn naam met kinderbijslag</c:v>
                  </c:pt>
                </c:lvl>
                <c:lvl>
                  <c:pt idx="0">
                    <c:v>39,24</c:v>
                  </c:pt>
                  <c:pt idx="3">
                    <c:v>kinder gebonden budget</c:v>
                  </c:pt>
                </c:lvl>
                <c:lvl>
                  <c:pt idx="0">
                    <c:v>72,66</c:v>
                  </c:pt>
                </c:lvl>
                <c:lvl>
                  <c:pt idx="0">
                    <c:v>60,00</c:v>
                  </c:pt>
                  <c:pt idx="2">
                    <c:v>sophie</c:v>
                  </c:pt>
                  <c:pt idx="3">
                    <c:v>200,00</c:v>
                  </c:pt>
                </c:lvl>
                <c:lvl>
                  <c:pt idx="0">
                    <c:v>33,76</c:v>
                  </c:pt>
                  <c:pt idx="2">
                    <c:v>lucas</c:v>
                  </c:pt>
                  <c:pt idx="3">
                    <c:v>200,00</c:v>
                  </c:pt>
                </c:lvl>
                <c:lvl>
                  <c:pt idx="0">
                    <c:v>42,50</c:v>
                  </c:pt>
                  <c:pt idx="2">
                    <c:v>sem</c:v>
                  </c:pt>
                  <c:pt idx="3">
                    <c:v>259,00</c:v>
                  </c:pt>
                </c:lvl>
                <c:lvl>
                  <c:pt idx="0">
                    <c:v>250,00</c:v>
                  </c:pt>
                  <c:pt idx="1">
                    <c:v>110,00</c:v>
                  </c:pt>
                  <c:pt idx="3">
                    <c:v>1 kind op mijn naam met kinderbijslag</c:v>
                  </c:pt>
                </c:lvl>
                <c:lvl>
                  <c:pt idx="0">
                    <c:v>1256,09</c:v>
                  </c:pt>
                  <c:pt idx="3">
                    <c:v>kinder gebonden budget</c:v>
                  </c:pt>
                </c:lvl>
              </c:multiLvlStrCache>
            </c:multiLvlStrRef>
          </c:cat>
          <c:val>
            <c:numRef>
              <c:f>Basistabel!$J$11:$M$11</c:f>
              <c:numCache>
                <c:formatCode>0.00</c:formatCode>
                <c:ptCount val="4"/>
                <c:pt idx="0">
                  <c:v>70</c:v>
                </c:pt>
                <c:pt idx="2">
                  <c:v>0</c:v>
                </c:pt>
                <c:pt idx="3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6D-4E9B-A801-7F67082B6201}"/>
            </c:ext>
          </c:extLst>
        </c:ser>
        <c:ser>
          <c:idx val="2"/>
          <c:order val="2"/>
          <c:tx>
            <c:strRef>
              <c:f>Basistabel!$A$12:$I$12</c:f>
              <c:strCache>
                <c:ptCount val="9"/>
                <c:pt idx="0">
                  <c:v>spaargeld </c:v>
                </c:pt>
                <c:pt idx="1">
                  <c:v>0,00</c:v>
                </c:pt>
                <c:pt idx="2">
                  <c:v>afbetaling krien</c:v>
                </c:pt>
                <c:pt idx="3">
                  <c:v>0,00</c:v>
                </c:pt>
                <c:pt idx="4">
                  <c:v>alimentatie</c:v>
                </c:pt>
                <c:pt idx="5">
                  <c:v>420,00</c:v>
                </c:pt>
                <c:pt idx="6">
                  <c:v>kinder geb budget</c:v>
                </c:pt>
                <c:pt idx="7">
                  <c:v>0,00</c:v>
                </c:pt>
                <c:pt idx="8">
                  <c:v>dela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Basistabel!$J$1:$M$9</c:f>
              <c:multiLvlStrCache>
                <c:ptCount val="4"/>
                <c:lvl>
                  <c:pt idx="0">
                    <c:v>184,78</c:v>
                  </c:pt>
                  <c:pt idx="3">
                    <c:v>2 kind op mijn naam met kinderbijslag</c:v>
                  </c:pt>
                </c:lvl>
                <c:lvl>
                  <c:pt idx="0">
                    <c:v>39,24</c:v>
                  </c:pt>
                  <c:pt idx="3">
                    <c:v>kinder gebonden budget</c:v>
                  </c:pt>
                </c:lvl>
                <c:lvl>
                  <c:pt idx="0">
                    <c:v>72,66</c:v>
                  </c:pt>
                </c:lvl>
                <c:lvl>
                  <c:pt idx="0">
                    <c:v>60,00</c:v>
                  </c:pt>
                  <c:pt idx="2">
                    <c:v>sophie</c:v>
                  </c:pt>
                  <c:pt idx="3">
                    <c:v>200,00</c:v>
                  </c:pt>
                </c:lvl>
                <c:lvl>
                  <c:pt idx="0">
                    <c:v>33,76</c:v>
                  </c:pt>
                  <c:pt idx="2">
                    <c:v>lucas</c:v>
                  </c:pt>
                  <c:pt idx="3">
                    <c:v>200,00</c:v>
                  </c:pt>
                </c:lvl>
                <c:lvl>
                  <c:pt idx="0">
                    <c:v>42,50</c:v>
                  </c:pt>
                  <c:pt idx="2">
                    <c:v>sem</c:v>
                  </c:pt>
                  <c:pt idx="3">
                    <c:v>259,00</c:v>
                  </c:pt>
                </c:lvl>
                <c:lvl>
                  <c:pt idx="0">
                    <c:v>250,00</c:v>
                  </c:pt>
                  <c:pt idx="1">
                    <c:v>110,00</c:v>
                  </c:pt>
                  <c:pt idx="3">
                    <c:v>1 kind op mijn naam met kinderbijslag</c:v>
                  </c:pt>
                </c:lvl>
                <c:lvl>
                  <c:pt idx="0">
                    <c:v>1256,09</c:v>
                  </c:pt>
                  <c:pt idx="3">
                    <c:v>kinder gebonden budget</c:v>
                  </c:pt>
                </c:lvl>
              </c:multiLvlStrCache>
            </c:multiLvlStrRef>
          </c:cat>
          <c:val>
            <c:numRef>
              <c:f>Basistabel!$J$12:$M$12</c:f>
              <c:numCache>
                <c:formatCode>0.00</c:formatCode>
                <c:ptCount val="4"/>
                <c:pt idx="0">
                  <c:v>10.93</c:v>
                </c:pt>
                <c:pt idx="2">
                  <c:v>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6D-4E9B-A801-7F67082B6201}"/>
            </c:ext>
          </c:extLst>
        </c:ser>
        <c:ser>
          <c:idx val="3"/>
          <c:order val="3"/>
          <c:tx>
            <c:strRef>
              <c:f>Basistabel!$A$13:$I$13</c:f>
              <c:strCache>
                <c:ptCount val="9"/>
                <c:pt idx="0">
                  <c:v>spaargeld </c:v>
                </c:pt>
                <c:pt idx="1">
                  <c:v>0,00</c:v>
                </c:pt>
                <c:pt idx="2">
                  <c:v>afbetaling krien</c:v>
                </c:pt>
                <c:pt idx="3">
                  <c:v>0,00</c:v>
                </c:pt>
                <c:pt idx="4">
                  <c:v>alimentatie</c:v>
                </c:pt>
                <c:pt idx="5">
                  <c:v>420,00</c:v>
                </c:pt>
                <c:pt idx="6">
                  <c:v>kinder geb budget</c:v>
                </c:pt>
                <c:pt idx="7">
                  <c:v>0,00</c:v>
                </c:pt>
                <c:pt idx="8">
                  <c:v>TAF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Basistabel!$J$1:$M$9</c:f>
              <c:multiLvlStrCache>
                <c:ptCount val="4"/>
                <c:lvl>
                  <c:pt idx="0">
                    <c:v>184,78</c:v>
                  </c:pt>
                  <c:pt idx="3">
                    <c:v>2 kind op mijn naam met kinderbijslag</c:v>
                  </c:pt>
                </c:lvl>
                <c:lvl>
                  <c:pt idx="0">
                    <c:v>39,24</c:v>
                  </c:pt>
                  <c:pt idx="3">
                    <c:v>kinder gebonden budget</c:v>
                  </c:pt>
                </c:lvl>
                <c:lvl>
                  <c:pt idx="0">
                    <c:v>72,66</c:v>
                  </c:pt>
                </c:lvl>
                <c:lvl>
                  <c:pt idx="0">
                    <c:v>60,00</c:v>
                  </c:pt>
                  <c:pt idx="2">
                    <c:v>sophie</c:v>
                  </c:pt>
                  <c:pt idx="3">
                    <c:v>200,00</c:v>
                  </c:pt>
                </c:lvl>
                <c:lvl>
                  <c:pt idx="0">
                    <c:v>33,76</c:v>
                  </c:pt>
                  <c:pt idx="2">
                    <c:v>lucas</c:v>
                  </c:pt>
                  <c:pt idx="3">
                    <c:v>200,00</c:v>
                  </c:pt>
                </c:lvl>
                <c:lvl>
                  <c:pt idx="0">
                    <c:v>42,50</c:v>
                  </c:pt>
                  <c:pt idx="2">
                    <c:v>sem</c:v>
                  </c:pt>
                  <c:pt idx="3">
                    <c:v>259,00</c:v>
                  </c:pt>
                </c:lvl>
                <c:lvl>
                  <c:pt idx="0">
                    <c:v>250,00</c:v>
                  </c:pt>
                  <c:pt idx="1">
                    <c:v>110,00</c:v>
                  </c:pt>
                  <c:pt idx="3">
                    <c:v>1 kind op mijn naam met kinderbijslag</c:v>
                  </c:pt>
                </c:lvl>
                <c:lvl>
                  <c:pt idx="0">
                    <c:v>1256,09</c:v>
                  </c:pt>
                  <c:pt idx="3">
                    <c:v>kinder gebonden budget</c:v>
                  </c:pt>
                </c:lvl>
              </c:multiLvlStrCache>
            </c:multiLvlStrRef>
          </c:cat>
          <c:val>
            <c:numRef>
              <c:f>Basistabel!$J$13:$M$13</c:f>
              <c:numCache>
                <c:formatCode>0.00</c:formatCode>
                <c:ptCount val="4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6D-4E9B-A801-7F67082B6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512911"/>
        <c:axId val="1663847807"/>
      </c:barChart>
      <c:catAx>
        <c:axId val="132451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663847807"/>
        <c:crosses val="autoZero"/>
        <c:auto val="1"/>
        <c:lblAlgn val="ctr"/>
        <c:lblOffset val="100"/>
        <c:noMultiLvlLbl val="0"/>
      </c:catAx>
      <c:valAx>
        <c:axId val="166384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2451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2982EC-9B9F-4796-919E-F8109AC081F1}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11205</xdr:rowOff>
    </xdr:from>
    <xdr:to>
      <xdr:col>21</xdr:col>
      <xdr:colOff>1</xdr:colOff>
      <xdr:row>46</xdr:row>
      <xdr:rowOff>183930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911A62B-78F4-4857-A350-D057A773C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2400</xdr:colOff>
      <xdr:row>47</xdr:row>
      <xdr:rowOff>179293</xdr:rowOff>
    </xdr:from>
    <xdr:to>
      <xdr:col>23</xdr:col>
      <xdr:colOff>340177</xdr:colOff>
      <xdr:row>90</xdr:row>
      <xdr:rowOff>122464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34C297E4-E24D-40C7-841F-E93ECCA34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598714</xdr:colOff>
      <xdr:row>91</xdr:row>
      <xdr:rowOff>163286</xdr:rowOff>
    </xdr:from>
    <xdr:to>
      <xdr:col>23</xdr:col>
      <xdr:colOff>324170</xdr:colOff>
      <xdr:row>134</xdr:row>
      <xdr:rowOff>106457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40B52ABD-885B-45AE-87EE-5258B8794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4223" cy="6297597"/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5D7AEAF-2A27-94C1-8A52-7EC5AFC8A6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48e1568ec6abaf2/Documenten/financial/Rekensheet%20salaris-dividend%202025.xlsx" TargetMode="External"/><Relationship Id="rId1" Type="http://schemas.openxmlformats.org/officeDocument/2006/relationships/externalLinkPath" Target="Rekensheet%20salaris-dividend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nstijging 2021-2030"/>
      <sheetName val="Grafieken"/>
      <sheetName val="Rente berekening"/>
      <sheetName val="Sal-div"/>
      <sheetName val="Rekentest"/>
      <sheetName val="JB Basistabel"/>
      <sheetName val="JB 2025"/>
      <sheetName val="JB 2025 april"/>
      <sheetName val="JB 2025 mei"/>
      <sheetName val="JB 2025 juni"/>
      <sheetName val="JB 2025 Juli"/>
      <sheetName val="JB Augustus"/>
      <sheetName val="Stroom&amp;gas"/>
      <sheetName val="JB 2025 September"/>
      <sheetName val="JB 2025 Oktober"/>
      <sheetName val="JB 2025 November"/>
      <sheetName val="JB 2025 Decemb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4">
          <cell r="J34">
            <v>384.31666666666666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85AD-304C-49BB-988C-1E80DEE4D264}">
  <dimension ref="B2:T41"/>
  <sheetViews>
    <sheetView workbookViewId="0">
      <selection activeCell="J45" sqref="J45"/>
    </sheetView>
  </sheetViews>
  <sheetFormatPr defaultRowHeight="15" x14ac:dyDescent="0.25"/>
  <cols>
    <col min="1" max="1" width="2" customWidth="1"/>
    <col min="3" max="3" width="24.42578125" bestFit="1" customWidth="1"/>
    <col min="4" max="5" width="11.140625" style="127" bestFit="1" customWidth="1"/>
    <col min="6" max="6" width="10.85546875" customWidth="1"/>
    <col min="7" max="11" width="10.7109375" customWidth="1"/>
    <col min="12" max="12" width="3.85546875" customWidth="1"/>
    <col min="13" max="17" width="10.7109375" customWidth="1"/>
    <col min="18" max="18" width="15.42578125" bestFit="1" customWidth="1"/>
    <col min="19" max="19" width="19.140625" bestFit="1" customWidth="1"/>
  </cols>
  <sheetData>
    <row r="2" spans="2:20" x14ac:dyDescent="0.25">
      <c r="D2" s="109" t="s">
        <v>332</v>
      </c>
      <c r="E2" s="109" t="s">
        <v>333</v>
      </c>
      <c r="G2" s="110" t="s">
        <v>334</v>
      </c>
      <c r="H2" s="111"/>
      <c r="I2" s="111"/>
      <c r="J2" s="112"/>
      <c r="K2" s="109" t="s">
        <v>332</v>
      </c>
      <c r="L2" s="112"/>
      <c r="M2" s="110" t="s">
        <v>334</v>
      </c>
      <c r="Q2" s="109" t="s">
        <v>333</v>
      </c>
    </row>
    <row r="3" spans="2:20" x14ac:dyDescent="0.25">
      <c r="B3" t="s">
        <v>335</v>
      </c>
      <c r="C3" t="s">
        <v>336</v>
      </c>
      <c r="D3" s="113">
        <f>T9</f>
        <v>72636.240000000005</v>
      </c>
      <c r="E3" s="113">
        <f>T14</f>
        <v>77479.772800000006</v>
      </c>
      <c r="G3" s="114" t="s">
        <v>337</v>
      </c>
      <c r="H3" s="115" t="s">
        <v>338</v>
      </c>
      <c r="I3" s="116"/>
      <c r="J3" s="117"/>
      <c r="K3" s="118"/>
      <c r="L3" s="112"/>
      <c r="M3" s="114" t="s">
        <v>337</v>
      </c>
      <c r="N3" s="115" t="s">
        <v>338</v>
      </c>
      <c r="O3" s="116"/>
      <c r="P3" s="117"/>
      <c r="Q3" s="118"/>
      <c r="S3" t="s">
        <v>332</v>
      </c>
      <c r="T3">
        <f>5614.64*12*1.08+(12*53.23)+1000</f>
        <v>74404.494400000011</v>
      </c>
    </row>
    <row r="4" spans="2:20" x14ac:dyDescent="0.25">
      <c r="B4" t="s">
        <v>335</v>
      </c>
      <c r="C4" t="s">
        <v>339</v>
      </c>
      <c r="D4" s="113">
        <f>605.07*12</f>
        <v>7260.84</v>
      </c>
      <c r="E4" s="113">
        <f>D4</f>
        <v>7260.84</v>
      </c>
      <c r="G4" s="119">
        <v>0</v>
      </c>
      <c r="H4" s="120">
        <v>38440</v>
      </c>
      <c r="I4" s="120">
        <f>IF(J5=TRUE,H4,IF(J6=TRUE,H4,$D$8))</f>
        <v>38440</v>
      </c>
      <c r="J4" s="120" t="b">
        <f>AND($D$8&lt;=H4)</f>
        <v>0</v>
      </c>
      <c r="K4" s="121">
        <v>0.36969999999999997</v>
      </c>
      <c r="L4" s="112"/>
      <c r="M4" s="119">
        <v>0</v>
      </c>
      <c r="N4" s="120">
        <v>38440</v>
      </c>
      <c r="O4" s="120">
        <f>IF(P5=TRUE,N4,IF(P6=TRUE,N4,$E$8))</f>
        <v>38440</v>
      </c>
      <c r="P4" s="120" t="b">
        <f>AND($E$8&lt;=N4)</f>
        <v>0</v>
      </c>
      <c r="Q4" s="121">
        <v>0.36969999999999997</v>
      </c>
      <c r="S4" t="s">
        <v>340</v>
      </c>
      <c r="T4" s="122">
        <v>77550</v>
      </c>
    </row>
    <row r="5" spans="2:20" x14ac:dyDescent="0.25">
      <c r="B5" t="s">
        <v>335</v>
      </c>
      <c r="C5" t="s">
        <v>341</v>
      </c>
      <c r="D5" s="113">
        <v>0</v>
      </c>
      <c r="E5" s="113">
        <v>0</v>
      </c>
      <c r="G5" s="119">
        <f>H4+1</f>
        <v>38441</v>
      </c>
      <c r="H5" s="120">
        <v>76816</v>
      </c>
      <c r="I5" s="120">
        <f>IF(J5=TRUE,$D$8-I4,IF(J6=TRUE,H5-H4,0))</f>
        <v>38376</v>
      </c>
      <c r="J5" s="120" t="b">
        <f>AND($D$8&gt;=G5,$D$8&lt;=H5)</f>
        <v>0</v>
      </c>
      <c r="K5" s="121">
        <v>0.37480000000000002</v>
      </c>
      <c r="L5" s="112"/>
      <c r="M5" s="119">
        <f>N4+1</f>
        <v>38441</v>
      </c>
      <c r="N5" s="120">
        <v>76816</v>
      </c>
      <c r="O5" s="120">
        <f>IF(P5=TRUE,$E$8-O4,IF(P6=TRUE,N5-N4,0))</f>
        <v>38376</v>
      </c>
      <c r="P5" s="120" t="b">
        <f>AND($E$8&gt;=M5,$E$8&lt;=N5)</f>
        <v>0</v>
      </c>
      <c r="Q5" s="121">
        <v>0.37480000000000002</v>
      </c>
      <c r="S5" t="s">
        <v>342</v>
      </c>
      <c r="T5">
        <f>12*180.97</f>
        <v>2171.64</v>
      </c>
    </row>
    <row r="6" spans="2:20" x14ac:dyDescent="0.25">
      <c r="B6" t="s">
        <v>335</v>
      </c>
      <c r="C6" t="s">
        <v>343</v>
      </c>
      <c r="D6" s="113">
        <v>0</v>
      </c>
      <c r="E6" s="113">
        <v>0</v>
      </c>
      <c r="G6" s="123">
        <f>H5+1</f>
        <v>76817</v>
      </c>
      <c r="H6" s="124">
        <v>0</v>
      </c>
      <c r="I6" s="124">
        <f>IF(J6=TRUE,$D$8-H5,IF(J6=FALSE,0,$D$8*K6))</f>
        <v>921.08000000000175</v>
      </c>
      <c r="J6" s="124" t="b">
        <f>AND($D$8&gt;=G6)</f>
        <v>1</v>
      </c>
      <c r="K6" s="125">
        <v>0.495</v>
      </c>
      <c r="L6" s="126"/>
      <c r="M6" s="123">
        <f>N5+1</f>
        <v>76817</v>
      </c>
      <c r="N6" s="124">
        <v>0</v>
      </c>
      <c r="O6" s="124">
        <f>IF(P6=TRUE,$E$8-N5,IF(P6=FALSE,0,$E$8*Q6))</f>
        <v>5764.6128000000026</v>
      </c>
      <c r="P6" s="124" t="b">
        <f>AND($E$8&gt;=M6)</f>
        <v>1</v>
      </c>
      <c r="Q6" s="125">
        <v>0.495</v>
      </c>
      <c r="S6" t="s">
        <v>344</v>
      </c>
      <c r="T6">
        <f>6.01*12</f>
        <v>72.12</v>
      </c>
    </row>
    <row r="7" spans="2:20" x14ac:dyDescent="0.25">
      <c r="B7" t="s">
        <v>335</v>
      </c>
      <c r="C7" t="s">
        <v>345</v>
      </c>
      <c r="D7" s="113">
        <f>180*12</f>
        <v>2160</v>
      </c>
      <c r="E7" s="113">
        <f>D7</f>
        <v>2160</v>
      </c>
      <c r="G7" s="111"/>
      <c r="H7" s="111"/>
      <c r="I7" s="111">
        <f>SUM(I4:I6)</f>
        <v>77737.08</v>
      </c>
      <c r="J7" s="112"/>
      <c r="K7" s="111">
        <f>(K4*I4)+(I5*K5)+(I6*K6)</f>
        <v>29050.527399999999</v>
      </c>
      <c r="L7" s="112"/>
      <c r="M7" s="111"/>
      <c r="N7" s="111"/>
      <c r="O7" s="111">
        <f>SUM(O4:O6)</f>
        <v>82580.612800000003</v>
      </c>
      <c r="P7" s="112"/>
      <c r="Q7" s="111">
        <f>(Q4*O4)+(O5*Q5)+(O6*Q6)</f>
        <v>31448.076136</v>
      </c>
      <c r="S7" t="s">
        <v>346</v>
      </c>
      <c r="T7">
        <f>560+2110</f>
        <v>2670</v>
      </c>
    </row>
    <row r="8" spans="2:20" x14ac:dyDescent="0.25">
      <c r="C8" t="s">
        <v>347</v>
      </c>
      <c r="D8" s="127">
        <f>D3+D4-D5-D6-D7</f>
        <v>77737.08</v>
      </c>
      <c r="E8" s="127">
        <f>E3+E4-E5-E6-E7</f>
        <v>82580.612800000003</v>
      </c>
      <c r="G8" s="111"/>
      <c r="H8" s="111"/>
      <c r="I8" s="111"/>
      <c r="J8" s="112"/>
      <c r="K8" s="112"/>
      <c r="L8" s="112"/>
      <c r="M8" s="111"/>
      <c r="N8" s="111"/>
      <c r="O8" s="111"/>
      <c r="P8" s="112"/>
      <c r="Q8" s="112"/>
    </row>
    <row r="9" spans="2:20" x14ac:dyDescent="0.25">
      <c r="C9" t="s">
        <v>348</v>
      </c>
      <c r="D9" s="127">
        <f>ROUNDDOWN(K7+I13-I22-I29,0)</f>
        <v>29698</v>
      </c>
      <c r="E9" s="127">
        <f>ROUNDDOWN(Q7+O13-O22-O29,0)</f>
        <v>32411</v>
      </c>
      <c r="G9" s="110" t="s">
        <v>349</v>
      </c>
      <c r="H9" s="111"/>
      <c r="I9" s="111"/>
      <c r="J9" s="112"/>
      <c r="K9" s="109" t="s">
        <v>332</v>
      </c>
      <c r="L9" s="112"/>
      <c r="M9" s="110" t="s">
        <v>349</v>
      </c>
      <c r="N9" s="111"/>
      <c r="O9" s="111"/>
      <c r="P9" s="112"/>
      <c r="Q9" s="109" t="s">
        <v>333</v>
      </c>
      <c r="S9" t="s">
        <v>350</v>
      </c>
      <c r="T9" s="122">
        <f>T4-T5-T6-T7-T8</f>
        <v>72636.240000000005</v>
      </c>
    </row>
    <row r="10" spans="2:20" x14ac:dyDescent="0.25">
      <c r="G10" s="114" t="s">
        <v>337</v>
      </c>
      <c r="H10" s="115" t="s">
        <v>338</v>
      </c>
      <c r="I10" s="116"/>
      <c r="J10" s="117"/>
      <c r="K10" s="118"/>
      <c r="L10" s="112"/>
      <c r="M10" s="114" t="s">
        <v>337</v>
      </c>
      <c r="N10" s="115" t="s">
        <v>338</v>
      </c>
      <c r="O10" s="116"/>
      <c r="P10" s="117"/>
      <c r="Q10" s="118"/>
      <c r="S10" t="s">
        <v>37</v>
      </c>
      <c r="T10" s="122">
        <f>K7-I22</f>
        <v>25708.289207999998</v>
      </c>
    </row>
    <row r="11" spans="2:20" x14ac:dyDescent="0.25">
      <c r="B11" t="s">
        <v>335</v>
      </c>
      <c r="C11" t="s">
        <v>351</v>
      </c>
      <c r="D11" s="113">
        <v>0</v>
      </c>
      <c r="E11" s="113">
        <v>0</v>
      </c>
      <c r="G11" s="119">
        <v>0</v>
      </c>
      <c r="H11" s="120">
        <v>75864</v>
      </c>
      <c r="I11" s="120">
        <f>IF(J11=TRUE,D8*K11,0)</f>
        <v>0</v>
      </c>
      <c r="J11" s="120" t="b">
        <f>AND($D$8&lt;=H11)</f>
        <v>0</v>
      </c>
      <c r="K11" s="128">
        <v>5.2600000000000001E-2</v>
      </c>
      <c r="L11" s="112"/>
      <c r="M11" s="119">
        <v>0</v>
      </c>
      <c r="N11" s="120">
        <v>75864</v>
      </c>
      <c r="O11" s="120">
        <f>IF(P11=TRUE,E8*Q11,0)</f>
        <v>0</v>
      </c>
      <c r="P11" s="120" t="b">
        <f>AND($E$8&lt;=N11)</f>
        <v>0</v>
      </c>
      <c r="Q11" s="128">
        <v>5.2600000000000001E-2</v>
      </c>
      <c r="S11" t="s">
        <v>45</v>
      </c>
      <c r="T11" s="122">
        <f>T9-T10</f>
        <v>46927.950792000003</v>
      </c>
    </row>
    <row r="12" spans="2:20" x14ac:dyDescent="0.25">
      <c r="B12" t="s">
        <v>335</v>
      </c>
      <c r="C12" t="s">
        <v>352</v>
      </c>
      <c r="D12" s="129" t="s">
        <v>353</v>
      </c>
      <c r="E12" s="129" t="s">
        <v>353</v>
      </c>
      <c r="G12" s="123">
        <f>H11+1</f>
        <v>75865</v>
      </c>
      <c r="H12" s="124">
        <v>0</v>
      </c>
      <c r="I12" s="124">
        <f>IF(J12=TRUE,3990,0)</f>
        <v>3990</v>
      </c>
      <c r="J12" s="124" t="b">
        <f>AND($D$8&gt;H11)</f>
        <v>1</v>
      </c>
      <c r="K12" s="125">
        <v>0</v>
      </c>
      <c r="L12" s="112"/>
      <c r="M12" s="123">
        <f>N11+1</f>
        <v>75865</v>
      </c>
      <c r="N12" s="124">
        <v>0</v>
      </c>
      <c r="O12" s="124">
        <f>IF(P12=TRUE,3990,0)</f>
        <v>3990</v>
      </c>
      <c r="P12" s="124" t="b">
        <f>AND($E$8&gt;N11)</f>
        <v>1</v>
      </c>
      <c r="Q12" s="125">
        <v>0</v>
      </c>
    </row>
    <row r="13" spans="2:20" x14ac:dyDescent="0.25">
      <c r="C13" t="s">
        <v>354</v>
      </c>
      <c r="D13" s="130">
        <f>IF(AND(D11&gt;67804,D12="nee"),31%,IF(AND(D11&gt;135608,D12="ja"),31%,24.5%))</f>
        <v>0.245</v>
      </c>
      <c r="E13" s="130">
        <f>IF(AND(E11&gt;67804,E12="nee"),31%,IF(AND(E11&gt;135608,E12="ja"),31%,24.5%))</f>
        <v>0.245</v>
      </c>
      <c r="G13" s="112"/>
      <c r="H13" s="112"/>
      <c r="I13" s="111">
        <f>ROUNDDOWN(SUM(I11:I12),0)</f>
        <v>3990</v>
      </c>
      <c r="J13" s="112"/>
      <c r="K13" s="112"/>
      <c r="L13" s="112"/>
      <c r="M13" s="112"/>
      <c r="N13" s="112"/>
      <c r="O13" s="111">
        <f>ROUNDDOWN(SUM(O11:O12),0)</f>
        <v>3990</v>
      </c>
      <c r="P13" s="112"/>
      <c r="Q13" s="112"/>
    </row>
    <row r="14" spans="2:20" x14ac:dyDescent="0.25">
      <c r="C14" t="s">
        <v>355</v>
      </c>
      <c r="D14" s="127">
        <f>IF(D12="ja",I41,I35)</f>
        <v>0</v>
      </c>
      <c r="E14" s="127">
        <f>IF(E12="ja",O41,O35)</f>
        <v>0</v>
      </c>
      <c r="G14" s="111"/>
      <c r="H14" s="111"/>
      <c r="I14" s="111"/>
      <c r="J14" s="112"/>
      <c r="K14" s="112"/>
      <c r="L14" s="112"/>
      <c r="M14" s="111"/>
      <c r="N14" s="111"/>
      <c r="O14" s="111"/>
      <c r="P14" s="112"/>
      <c r="Q14" s="112"/>
      <c r="S14" t="s">
        <v>333</v>
      </c>
      <c r="T14">
        <f>5851.93*12*1.08+(12*53.23)+1000</f>
        <v>77479.772800000006</v>
      </c>
    </row>
    <row r="15" spans="2:20" x14ac:dyDescent="0.25">
      <c r="G15" s="110" t="s">
        <v>356</v>
      </c>
      <c r="H15" s="111"/>
      <c r="I15" s="111"/>
      <c r="J15" s="112"/>
      <c r="K15" s="109" t="s">
        <v>332</v>
      </c>
      <c r="L15" s="112"/>
      <c r="M15" s="110" t="s">
        <v>356</v>
      </c>
      <c r="N15" s="111"/>
      <c r="O15" s="111"/>
      <c r="P15" s="112"/>
      <c r="Q15" s="109" t="s">
        <v>333</v>
      </c>
      <c r="S15" t="s">
        <v>350</v>
      </c>
      <c r="T15" s="122">
        <f>E3</f>
        <v>77479.772800000006</v>
      </c>
    </row>
    <row r="16" spans="2:20" x14ac:dyDescent="0.25">
      <c r="C16" s="131"/>
      <c r="D16" s="132"/>
      <c r="E16" s="132"/>
      <c r="G16" s="114" t="s">
        <v>337</v>
      </c>
      <c r="H16" s="115" t="s">
        <v>338</v>
      </c>
      <c r="I16" s="116"/>
      <c r="J16" s="117"/>
      <c r="K16" s="118"/>
      <c r="L16" s="112"/>
      <c r="M16" s="114" t="s">
        <v>337</v>
      </c>
      <c r="N16" s="115" t="s">
        <v>338</v>
      </c>
      <c r="O16" s="116"/>
      <c r="P16" s="117"/>
      <c r="Q16" s="118"/>
      <c r="S16" t="s">
        <v>37</v>
      </c>
      <c r="T16" s="122">
        <f>Q7-O22</f>
        <v>28421.15192928</v>
      </c>
    </row>
    <row r="17" spans="2:20" x14ac:dyDescent="0.25">
      <c r="C17" t="s">
        <v>357</v>
      </c>
      <c r="D17" s="127">
        <f>D3-D9</f>
        <v>42938.240000000005</v>
      </c>
      <c r="E17" s="127">
        <f>E3-E9</f>
        <v>45068.772800000006</v>
      </c>
      <c r="G17" s="119">
        <v>0</v>
      </c>
      <c r="H17" s="120">
        <v>12168</v>
      </c>
      <c r="I17" s="120">
        <f>IF(J17=TRUE,$D$8*K17,0)</f>
        <v>0</v>
      </c>
      <c r="J17" s="120" t="b">
        <f>AND($D$8&lt;=H17)</f>
        <v>0</v>
      </c>
      <c r="K17" s="133">
        <v>8.0530000000000004E-2</v>
      </c>
      <c r="L17" s="112"/>
      <c r="M17" s="119">
        <v>0</v>
      </c>
      <c r="N17" s="120">
        <v>12168</v>
      </c>
      <c r="O17" s="120">
        <f>IF(P17=TRUE,$E$8*Q17,0)</f>
        <v>0</v>
      </c>
      <c r="P17" s="120" t="b">
        <f>AND($E$8&lt;=N17)</f>
        <v>0</v>
      </c>
      <c r="Q17" s="133">
        <v>8.0530000000000004E-2</v>
      </c>
      <c r="S17" t="s">
        <v>45</v>
      </c>
      <c r="T17" s="122">
        <f>T15-T16</f>
        <v>49058.620870720006</v>
      </c>
    </row>
    <row r="18" spans="2:20" x14ac:dyDescent="0.25">
      <c r="C18" t="s">
        <v>358</v>
      </c>
      <c r="D18" s="127">
        <f>D11-D14</f>
        <v>0</v>
      </c>
      <c r="E18" s="127">
        <f>E11-E14</f>
        <v>0</v>
      </c>
      <c r="G18" s="119">
        <f>H17+1</f>
        <v>12169</v>
      </c>
      <c r="H18" s="120">
        <v>26287</v>
      </c>
      <c r="I18" s="120">
        <f>IF(J18=TRUE,980+($D$8-G18)*K18,0)</f>
        <v>0</v>
      </c>
      <c r="J18" s="120" t="b">
        <f>AND($D$8&gt;=G18,$D$8&lt;=H18)</f>
        <v>0</v>
      </c>
      <c r="K18" s="133">
        <v>0.30030000000000001</v>
      </c>
      <c r="L18" s="112"/>
      <c r="M18" s="119">
        <f>N17+1</f>
        <v>12169</v>
      </c>
      <c r="N18" s="120">
        <v>26287</v>
      </c>
      <c r="O18" s="120">
        <f>IF(P18=TRUE,980+($E$8-M18)*Q18,0)</f>
        <v>0</v>
      </c>
      <c r="P18" s="120" t="b">
        <f>AND($E$8&gt;=M18,$E$8&lt;=N18)</f>
        <v>0</v>
      </c>
      <c r="Q18" s="133">
        <v>0.30030000000000001</v>
      </c>
    </row>
    <row r="19" spans="2:20" x14ac:dyDescent="0.25">
      <c r="C19" s="134" t="s">
        <v>359</v>
      </c>
      <c r="D19" s="135">
        <f>SUM(D17:D18)</f>
        <v>42938.240000000005</v>
      </c>
      <c r="E19" s="135">
        <f>SUM(E17:E18)</f>
        <v>45068.772800000006</v>
      </c>
      <c r="G19" s="119">
        <f>H18+1</f>
        <v>26288</v>
      </c>
      <c r="H19" s="120">
        <v>43070</v>
      </c>
      <c r="I19" s="120">
        <f>IF(J19=TRUE,5220+($D$8-G19)*K19,0)</f>
        <v>0</v>
      </c>
      <c r="J19" s="120" t="b">
        <f>AND($D$8&gt;=G19,$D$8&lt;=H19)</f>
        <v>0</v>
      </c>
      <c r="K19" s="133">
        <v>2.2579999999999999E-2</v>
      </c>
      <c r="L19" s="112"/>
      <c r="M19" s="119">
        <f>N18+1</f>
        <v>26288</v>
      </c>
      <c r="N19" s="120">
        <v>43070</v>
      </c>
      <c r="O19" s="120">
        <f>IF(P19=TRUE,5220+($E$8-M19)*Q19,0)</f>
        <v>0</v>
      </c>
      <c r="P19" s="120" t="b">
        <f>AND($E$8&gt;=M19,$E$8&lt;=N19)</f>
        <v>0</v>
      </c>
      <c r="Q19" s="133">
        <v>2.2579999999999999E-2</v>
      </c>
    </row>
    <row r="20" spans="2:20" x14ac:dyDescent="0.25">
      <c r="G20" s="119">
        <f>H19+1</f>
        <v>43071</v>
      </c>
      <c r="H20" s="120">
        <v>129077</v>
      </c>
      <c r="I20" s="120">
        <f>IF(J20=TRUE,5599-($D$8-G20)*K20,0)</f>
        <v>3342.2381919999998</v>
      </c>
      <c r="J20" s="120" t="b">
        <f>AND($D$8&gt;=G20,$D$8&lt;=H20)</f>
        <v>1</v>
      </c>
      <c r="K20" s="133">
        <v>6.5100000000000005E-2</v>
      </c>
      <c r="L20" s="112"/>
      <c r="M20" s="119">
        <f>N19+1</f>
        <v>43071</v>
      </c>
      <c r="N20" s="120">
        <v>129077</v>
      </c>
      <c r="O20" s="120">
        <f>IF(P20=TRUE,5599-($E$8-M20)*Q20,0)</f>
        <v>3026.9242067199998</v>
      </c>
      <c r="P20" s="120" t="b">
        <f>AND($E$8&gt;=M20,$E$8&lt;=N20)</f>
        <v>1</v>
      </c>
      <c r="Q20" s="133">
        <v>6.5100000000000005E-2</v>
      </c>
    </row>
    <row r="21" spans="2:20" x14ac:dyDescent="0.25">
      <c r="C21" t="s">
        <v>348</v>
      </c>
      <c r="D21" s="127">
        <f>D9</f>
        <v>29698</v>
      </c>
      <c r="E21" s="127">
        <f>E9</f>
        <v>32411</v>
      </c>
      <c r="G21" s="123">
        <f>H20+1</f>
        <v>129078</v>
      </c>
      <c r="H21" s="124">
        <v>0</v>
      </c>
      <c r="I21" s="124">
        <f>IF(J21=TRUE,K21,0)</f>
        <v>0</v>
      </c>
      <c r="J21" s="124" t="b">
        <f>AND($D$8&gt;=G21)</f>
        <v>0</v>
      </c>
      <c r="K21" s="136">
        <v>0</v>
      </c>
      <c r="L21" s="112"/>
      <c r="M21" s="123">
        <f>N20+1</f>
        <v>129078</v>
      </c>
      <c r="N21" s="124">
        <v>0</v>
      </c>
      <c r="O21" s="124">
        <f>IF(P21=TRUE,Q21,0)</f>
        <v>0</v>
      </c>
      <c r="P21" s="124" t="b">
        <f>AND($E$8&gt;=M21)</f>
        <v>0</v>
      </c>
      <c r="Q21" s="136">
        <v>0</v>
      </c>
    </row>
    <row r="22" spans="2:20" x14ac:dyDescent="0.25">
      <c r="C22" t="s">
        <v>355</v>
      </c>
      <c r="D22" s="127">
        <f>D14</f>
        <v>0</v>
      </c>
      <c r="E22" s="127">
        <f>E14</f>
        <v>0</v>
      </c>
      <c r="G22" s="111"/>
      <c r="H22" s="111"/>
      <c r="I22" s="111">
        <f>SUM(I17:I21)</f>
        <v>3342.2381919999998</v>
      </c>
      <c r="J22" s="112"/>
      <c r="K22" s="112"/>
      <c r="L22" s="112"/>
      <c r="M22" s="111"/>
      <c r="N22" s="111"/>
      <c r="O22" s="111">
        <f>SUM(O17:O21)</f>
        <v>3026.9242067199998</v>
      </c>
      <c r="P22" s="112"/>
      <c r="Q22" s="112"/>
    </row>
    <row r="23" spans="2:20" x14ac:dyDescent="0.25">
      <c r="C23" t="s">
        <v>360</v>
      </c>
      <c r="D23" s="127">
        <f>IF($D$3&lt;$E$3,0,$E$3-$D$3)*D33</f>
        <v>0</v>
      </c>
      <c r="E23" s="127">
        <f>IF($D$3&gt;$E$3,0,$D$3-$E$3)*E33</f>
        <v>-920.27123200000017</v>
      </c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</row>
    <row r="24" spans="2:20" x14ac:dyDescent="0.25">
      <c r="C24" s="134" t="s">
        <v>361</v>
      </c>
      <c r="D24" s="135">
        <f>SUM(D21:D23)</f>
        <v>29698</v>
      </c>
      <c r="E24" s="135">
        <f>SUM(E21:E23)</f>
        <v>31490.728768000001</v>
      </c>
      <c r="F24" s="135">
        <f>E24-D24</f>
        <v>1792.7287680000009</v>
      </c>
      <c r="G24" s="110" t="s">
        <v>362</v>
      </c>
      <c r="H24" s="111"/>
      <c r="I24" s="111"/>
      <c r="J24" s="112"/>
      <c r="K24" s="109" t="s">
        <v>332</v>
      </c>
      <c r="L24" s="112"/>
      <c r="M24" s="110" t="s">
        <v>362</v>
      </c>
      <c r="N24" s="111"/>
      <c r="O24" s="111"/>
      <c r="P24" s="112"/>
      <c r="Q24" s="109" t="s">
        <v>333</v>
      </c>
    </row>
    <row r="25" spans="2:20" x14ac:dyDescent="0.25">
      <c r="G25" s="114" t="s">
        <v>337</v>
      </c>
      <c r="H25" s="115" t="s">
        <v>338</v>
      </c>
      <c r="I25" s="116"/>
      <c r="J25" s="117"/>
      <c r="K25" s="118"/>
      <c r="L25" s="112"/>
      <c r="M25" s="114" t="s">
        <v>337</v>
      </c>
      <c r="N25" s="115" t="s">
        <v>338</v>
      </c>
      <c r="O25" s="116"/>
      <c r="P25" s="117"/>
      <c r="Q25" s="118"/>
    </row>
    <row r="26" spans="2:20" x14ac:dyDescent="0.25">
      <c r="C26" s="131"/>
      <c r="D26" s="132"/>
      <c r="E26" s="132"/>
      <c r="G26" s="119">
        <v>0</v>
      </c>
      <c r="H26" s="120">
        <v>28405</v>
      </c>
      <c r="I26" s="120">
        <f>IF(J26=TRUE,K26,0)</f>
        <v>0</v>
      </c>
      <c r="J26" s="120" t="b">
        <f>AND($D$27&lt;=H26)</f>
        <v>0</v>
      </c>
      <c r="K26" s="137">
        <v>3068</v>
      </c>
      <c r="L26" s="112"/>
      <c r="M26" s="119">
        <v>0</v>
      </c>
      <c r="N26" s="120">
        <v>28405</v>
      </c>
      <c r="O26" s="120">
        <f>IF(P26=TRUE,Q26,0)</f>
        <v>0</v>
      </c>
      <c r="P26" s="120" t="b">
        <f>AND($E$27&lt;=N26)</f>
        <v>0</v>
      </c>
      <c r="Q26" s="137">
        <v>3068</v>
      </c>
    </row>
    <row r="27" spans="2:20" x14ac:dyDescent="0.25">
      <c r="C27" t="s">
        <v>363</v>
      </c>
      <c r="D27" s="127">
        <f>IF(D12="ja",D8+(D11/2),D8+D11)</f>
        <v>77737.08</v>
      </c>
      <c r="E27" s="127">
        <f>IF(E12="ja",E8+(E11/2),E8+E11)</f>
        <v>82580.612800000003</v>
      </c>
      <c r="F27" s="130"/>
      <c r="G27" s="119">
        <f>H26+1</f>
        <v>28406</v>
      </c>
      <c r="H27" s="120">
        <v>76816</v>
      </c>
      <c r="I27" s="120">
        <f>IF(J27=TRUE,K26-(K27*($D$8-G27)),0)</f>
        <v>0</v>
      </c>
      <c r="J27" s="120" t="b">
        <f>AND($D$27&gt;=G27,$D$27&lt;=H27)</f>
        <v>0</v>
      </c>
      <c r="K27" s="133">
        <v>6.3369999999999996E-2</v>
      </c>
      <c r="L27" s="112"/>
      <c r="M27" s="119">
        <f>N26+1</f>
        <v>28406</v>
      </c>
      <c r="N27" s="120">
        <v>76816</v>
      </c>
      <c r="O27" s="120">
        <f>IF(P27=TRUE,Q26-(Q27*($E$8-M27)),0)</f>
        <v>0</v>
      </c>
      <c r="P27" s="120" t="b">
        <f>AND($E$27&gt;=M27,$E$27&lt;=N27)</f>
        <v>0</v>
      </c>
      <c r="Q27" s="133">
        <v>6.3369999999999996E-2</v>
      </c>
    </row>
    <row r="28" spans="2:20" x14ac:dyDescent="0.25">
      <c r="G28" s="123">
        <f>H27+1</f>
        <v>76817</v>
      </c>
      <c r="H28" s="124">
        <v>0</v>
      </c>
      <c r="I28" s="124">
        <f>IF(J28=TRUE,K28,0)</f>
        <v>0</v>
      </c>
      <c r="J28" s="124" t="b">
        <f>AND($D$27&gt;=G28)</f>
        <v>1</v>
      </c>
      <c r="K28" s="136">
        <v>0</v>
      </c>
      <c r="L28" s="112"/>
      <c r="M28" s="123">
        <f>N27+1</f>
        <v>76817</v>
      </c>
      <c r="N28" s="124">
        <v>0</v>
      </c>
      <c r="O28" s="124">
        <f>IF(P28=TRUE,Q28,0)</f>
        <v>0</v>
      </c>
      <c r="P28" s="124" t="b">
        <f>AND($E$27&gt;=M28)</f>
        <v>1</v>
      </c>
      <c r="Q28" s="136">
        <v>0</v>
      </c>
    </row>
    <row r="29" spans="2:20" x14ac:dyDescent="0.25">
      <c r="C29" s="131"/>
      <c r="D29" s="132"/>
      <c r="E29" s="132"/>
      <c r="G29" s="112"/>
      <c r="H29" s="112"/>
      <c r="I29" s="111">
        <f>SUM(I26:I28)</f>
        <v>0</v>
      </c>
      <c r="J29" s="112"/>
      <c r="K29" s="112"/>
      <c r="L29" s="112"/>
      <c r="M29" s="112"/>
      <c r="N29" s="112"/>
      <c r="O29" s="111">
        <f>SUM(O26:O28)</f>
        <v>0</v>
      </c>
      <c r="P29" s="112"/>
      <c r="Q29" s="112"/>
    </row>
    <row r="30" spans="2:20" x14ac:dyDescent="0.25">
      <c r="B30" t="s">
        <v>335</v>
      </c>
      <c r="C30" t="s">
        <v>364</v>
      </c>
      <c r="D30" s="113">
        <v>0</v>
      </c>
      <c r="E30" s="113">
        <v>0</v>
      </c>
    </row>
    <row r="31" spans="2:20" x14ac:dyDescent="0.25">
      <c r="C31" t="s">
        <v>365</v>
      </c>
      <c r="D31" s="127">
        <v>0</v>
      </c>
      <c r="E31" s="127">
        <v>0</v>
      </c>
      <c r="G31" s="110" t="s">
        <v>366</v>
      </c>
      <c r="H31" s="111"/>
      <c r="I31" s="111"/>
      <c r="J31" s="112"/>
      <c r="K31" s="109" t="s">
        <v>332</v>
      </c>
      <c r="L31" s="112"/>
      <c r="M31" s="110" t="s">
        <v>366</v>
      </c>
      <c r="N31" s="111"/>
      <c r="O31" s="111"/>
      <c r="P31" s="112"/>
      <c r="Q31" s="109" t="s">
        <v>333</v>
      </c>
    </row>
    <row r="32" spans="2:20" x14ac:dyDescent="0.25">
      <c r="C32" t="s">
        <v>367</v>
      </c>
      <c r="D32" s="127">
        <f>D30-D31</f>
        <v>0</v>
      </c>
      <c r="E32" s="127">
        <f>E30-E31</f>
        <v>0</v>
      </c>
      <c r="G32" s="114" t="s">
        <v>337</v>
      </c>
      <c r="H32" s="115" t="s">
        <v>338</v>
      </c>
      <c r="I32" s="116"/>
      <c r="J32" s="117"/>
      <c r="K32" s="118"/>
      <c r="L32" s="112"/>
      <c r="M32" s="114" t="s">
        <v>337</v>
      </c>
      <c r="N32" s="115" t="s">
        <v>338</v>
      </c>
      <c r="O32" s="116"/>
      <c r="P32" s="117"/>
      <c r="Q32" s="118"/>
    </row>
    <row r="33" spans="3:17" x14ac:dyDescent="0.25">
      <c r="C33" t="s">
        <v>368</v>
      </c>
      <c r="D33" s="130">
        <f>IF(D32&gt;200000,25.8%,19%)</f>
        <v>0.19</v>
      </c>
      <c r="E33" s="130">
        <f>IF(E32&gt;200000,25.8%,19%)</f>
        <v>0.19</v>
      </c>
      <c r="G33" s="119">
        <v>0</v>
      </c>
      <c r="H33" s="120">
        <v>67804</v>
      </c>
      <c r="I33" s="120">
        <f>IF(J33=FALSE,H33*K33,K33*$D$11)</f>
        <v>0</v>
      </c>
      <c r="J33" s="120" t="b">
        <f>AND($D$11&lt;=H33)</f>
        <v>1</v>
      </c>
      <c r="K33" s="138">
        <v>0.245</v>
      </c>
      <c r="L33" s="112"/>
      <c r="M33" s="119">
        <v>0</v>
      </c>
      <c r="N33" s="120">
        <v>67804</v>
      </c>
      <c r="O33" s="120">
        <f>IF(P33=FALSE,N33*Q33,Q33*$E$11)</f>
        <v>0</v>
      </c>
      <c r="P33" s="120" t="b">
        <f>AND($E$11&lt;=N33)</f>
        <v>1</v>
      </c>
      <c r="Q33" s="138">
        <v>0.245</v>
      </c>
    </row>
    <row r="34" spans="3:17" x14ac:dyDescent="0.25">
      <c r="G34" s="123">
        <f>H33+1</f>
        <v>67805</v>
      </c>
      <c r="H34" s="124">
        <v>0</v>
      </c>
      <c r="I34" s="124">
        <f>IF(J34=TRUE,($D$11-H33)*K34,0)</f>
        <v>0</v>
      </c>
      <c r="J34" s="124" t="b">
        <f>AND($D$11&gt;=G34)</f>
        <v>0</v>
      </c>
      <c r="K34" s="139">
        <v>0.31</v>
      </c>
      <c r="L34" s="112"/>
      <c r="M34" s="123">
        <f>N33+1</f>
        <v>67805</v>
      </c>
      <c r="N34" s="124">
        <v>0</v>
      </c>
      <c r="O34" s="124">
        <f>IF(P34=TRUE,($E$11-N33)*Q34,0)</f>
        <v>0</v>
      </c>
      <c r="P34" s="124" t="b">
        <f>AND($E$11&gt;=M34)</f>
        <v>0</v>
      </c>
      <c r="Q34" s="139">
        <v>0.31</v>
      </c>
    </row>
    <row r="35" spans="3:17" x14ac:dyDescent="0.25">
      <c r="C35" s="131"/>
      <c r="D35" s="132"/>
      <c r="E35" s="132"/>
      <c r="G35" s="112"/>
      <c r="H35" s="112"/>
      <c r="I35" s="111">
        <f>ROUNDDOWN(SUM(I33:I34),0)</f>
        <v>0</v>
      </c>
      <c r="J35" s="112"/>
      <c r="K35" s="112"/>
      <c r="L35" s="112"/>
      <c r="M35" s="112"/>
      <c r="N35" s="112"/>
      <c r="O35" s="111">
        <f>ROUNDDOWN(SUM(O33:O34),0)</f>
        <v>0</v>
      </c>
      <c r="P35" s="112"/>
      <c r="Q35" s="112"/>
    </row>
    <row r="37" spans="3:17" x14ac:dyDescent="0.25">
      <c r="G37" s="110" t="s">
        <v>369</v>
      </c>
      <c r="H37" s="111"/>
      <c r="I37" s="111"/>
      <c r="J37" s="112"/>
      <c r="K37" s="109" t="s">
        <v>332</v>
      </c>
      <c r="M37" s="110" t="s">
        <v>369</v>
      </c>
      <c r="N37" s="111"/>
      <c r="O37" s="111"/>
      <c r="P37" s="112"/>
      <c r="Q37" s="109" t="s">
        <v>333</v>
      </c>
    </row>
    <row r="38" spans="3:17" x14ac:dyDescent="0.25">
      <c r="G38" s="114" t="s">
        <v>337</v>
      </c>
      <c r="H38" s="115" t="s">
        <v>338</v>
      </c>
      <c r="I38" s="116"/>
      <c r="J38" s="117"/>
      <c r="K38" s="118"/>
      <c r="M38" s="114" t="s">
        <v>337</v>
      </c>
      <c r="N38" s="115" t="s">
        <v>338</v>
      </c>
      <c r="O38" s="116"/>
      <c r="P38" s="117"/>
      <c r="Q38" s="118"/>
    </row>
    <row r="39" spans="3:17" x14ac:dyDescent="0.25">
      <c r="G39" s="119">
        <v>0</v>
      </c>
      <c r="H39" s="120">
        <v>135608</v>
      </c>
      <c r="I39" s="120">
        <f>IF(J39=FALSE,H39*K39,K39*$D$11)</f>
        <v>0</v>
      </c>
      <c r="J39" s="120" t="b">
        <f>AND($D$11&lt;=H39)</f>
        <v>1</v>
      </c>
      <c r="K39" s="138">
        <v>0.245</v>
      </c>
      <c r="M39" s="119">
        <v>0</v>
      </c>
      <c r="N39" s="120">
        <v>135608</v>
      </c>
      <c r="O39" s="120">
        <f>IF(P39=FALSE,N39*Q39,Q39*$E$11)</f>
        <v>0</v>
      </c>
      <c r="P39" s="120" t="b">
        <f>AND($E$11&lt;=N39)</f>
        <v>1</v>
      </c>
      <c r="Q39" s="138">
        <v>0.245</v>
      </c>
    </row>
    <row r="40" spans="3:17" x14ac:dyDescent="0.25">
      <c r="G40" s="123">
        <f>H39+1</f>
        <v>135609</v>
      </c>
      <c r="H40" s="124">
        <v>0</v>
      </c>
      <c r="I40" s="124">
        <f>IF(J40=TRUE,($D$11-H39)*K40,0)</f>
        <v>0</v>
      </c>
      <c r="J40" s="124" t="b">
        <f>AND($D$11&gt;=G40)</f>
        <v>0</v>
      </c>
      <c r="K40" s="139">
        <v>0.31</v>
      </c>
      <c r="M40" s="123">
        <f>N39+1</f>
        <v>135609</v>
      </c>
      <c r="N40" s="124">
        <v>0</v>
      </c>
      <c r="O40" s="124">
        <f>IF(P40=TRUE,($E$11-N39)*Q40,0)</f>
        <v>0</v>
      </c>
      <c r="P40" s="124" t="b">
        <f>AND($E$11&gt;=M40)</f>
        <v>0</v>
      </c>
      <c r="Q40" s="139">
        <v>0.31</v>
      </c>
    </row>
    <row r="41" spans="3:17" x14ac:dyDescent="0.25">
      <c r="G41" s="112"/>
      <c r="H41" s="112"/>
      <c r="I41" s="111">
        <f>ROUNDDOWN(SUM(I39:I40),0)</f>
        <v>0</v>
      </c>
      <c r="J41" s="112"/>
      <c r="K41" s="112"/>
      <c r="M41" s="112"/>
      <c r="N41" s="112"/>
      <c r="O41" s="111">
        <f>ROUNDDOWN(SUM(O39:O40),0)</f>
        <v>0</v>
      </c>
      <c r="P41" s="112"/>
      <c r="Q41" s="1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7591-EC6E-4563-A942-9A71E1ED95CA}">
  <dimension ref="A1:M94"/>
  <sheetViews>
    <sheetView workbookViewId="0">
      <selection activeCell="H19" sqref="H19"/>
    </sheetView>
  </sheetViews>
  <sheetFormatPr defaultRowHeight="15" x14ac:dyDescent="0.25"/>
  <cols>
    <col min="1" max="1" width="10.28515625" bestFit="1" customWidth="1"/>
    <col min="2" max="2" width="9.42578125" bestFit="1" customWidth="1"/>
    <col min="3" max="3" width="13.7109375" bestFit="1" customWidth="1"/>
    <col min="4" max="4" width="17.140625" customWidth="1"/>
    <col min="5" max="5" width="17.5703125" bestFit="1" customWidth="1"/>
    <col min="8" max="8" width="14.42578125" customWidth="1"/>
    <col min="10" max="10" width="11.5703125" bestFit="1" customWidth="1"/>
  </cols>
  <sheetData>
    <row r="1" spans="1:13" x14ac:dyDescent="0.25">
      <c r="A1" t="s">
        <v>72</v>
      </c>
      <c r="B1" s="221" t="s">
        <v>73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</row>
    <row r="3" spans="1:13" x14ac:dyDescent="0.25">
      <c r="A3">
        <v>2025</v>
      </c>
    </row>
    <row r="4" spans="1:13" x14ac:dyDescent="0.25">
      <c r="A4" t="s">
        <v>74</v>
      </c>
      <c r="B4" t="s">
        <v>75</v>
      </c>
      <c r="C4" t="s">
        <v>76</v>
      </c>
      <c r="D4" t="s">
        <v>77</v>
      </c>
      <c r="E4" t="s">
        <v>78</v>
      </c>
    </row>
    <row r="5" spans="1:13" x14ac:dyDescent="0.25">
      <c r="A5" t="s">
        <v>79</v>
      </c>
      <c r="B5" t="s">
        <v>80</v>
      </c>
      <c r="C5" t="s">
        <v>80</v>
      </c>
      <c r="D5" t="s">
        <v>80</v>
      </c>
      <c r="E5" t="s">
        <v>80</v>
      </c>
    </row>
    <row r="6" spans="1:13" x14ac:dyDescent="0.25">
      <c r="A6" t="s">
        <v>81</v>
      </c>
      <c r="B6" t="s">
        <v>80</v>
      </c>
      <c r="C6" t="s">
        <v>80</v>
      </c>
      <c r="D6" t="s">
        <v>80</v>
      </c>
      <c r="E6" t="s">
        <v>80</v>
      </c>
    </row>
    <row r="7" spans="1:13" x14ac:dyDescent="0.25">
      <c r="A7" t="s">
        <v>82</v>
      </c>
      <c r="B7" t="s">
        <v>80</v>
      </c>
      <c r="C7" t="s">
        <v>80</v>
      </c>
      <c r="D7" t="s">
        <v>80</v>
      </c>
      <c r="E7" t="s">
        <v>80</v>
      </c>
    </row>
    <row r="8" spans="1:13" x14ac:dyDescent="0.25">
      <c r="A8" t="s">
        <v>83</v>
      </c>
      <c r="B8" t="s">
        <v>84</v>
      </c>
      <c r="C8" t="s">
        <v>85</v>
      </c>
      <c r="D8" t="s">
        <v>86</v>
      </c>
      <c r="E8" t="s">
        <v>87</v>
      </c>
    </row>
    <row r="9" spans="1:13" x14ac:dyDescent="0.25">
      <c r="A9" t="s">
        <v>88</v>
      </c>
      <c r="B9" t="s">
        <v>84</v>
      </c>
      <c r="C9" t="s">
        <v>89</v>
      </c>
      <c r="D9" t="s">
        <v>90</v>
      </c>
      <c r="E9" t="s">
        <v>91</v>
      </c>
    </row>
    <row r="10" spans="1:13" x14ac:dyDescent="0.25">
      <c r="A10" t="s">
        <v>92</v>
      </c>
      <c r="B10" t="s">
        <v>84</v>
      </c>
      <c r="C10" t="s">
        <v>93</v>
      </c>
      <c r="D10" t="s">
        <v>94</v>
      </c>
      <c r="E10" t="s">
        <v>95</v>
      </c>
    </row>
    <row r="11" spans="1:13" x14ac:dyDescent="0.25">
      <c r="A11" t="s">
        <v>96</v>
      </c>
      <c r="B11" t="s">
        <v>84</v>
      </c>
      <c r="C11" t="s">
        <v>97</v>
      </c>
      <c r="D11" t="s">
        <v>98</v>
      </c>
      <c r="E11" t="s">
        <v>99</v>
      </c>
    </row>
    <row r="12" spans="1:13" x14ac:dyDescent="0.25">
      <c r="A12" t="s">
        <v>100</v>
      </c>
      <c r="B12" t="s">
        <v>84</v>
      </c>
      <c r="C12" t="s">
        <v>101</v>
      </c>
      <c r="D12" t="s">
        <v>102</v>
      </c>
      <c r="E12" t="s">
        <v>103</v>
      </c>
    </row>
    <row r="13" spans="1:13" x14ac:dyDescent="0.25">
      <c r="A13" t="s">
        <v>104</v>
      </c>
      <c r="B13" t="s">
        <v>84</v>
      </c>
      <c r="C13" t="s">
        <v>105</v>
      </c>
      <c r="D13" t="s">
        <v>106</v>
      </c>
      <c r="E13" t="s">
        <v>107</v>
      </c>
    </row>
    <row r="14" spans="1:13" x14ac:dyDescent="0.25">
      <c r="A14" t="s">
        <v>108</v>
      </c>
      <c r="B14" t="s">
        <v>84</v>
      </c>
      <c r="C14" t="s">
        <v>109</v>
      </c>
      <c r="D14" t="s">
        <v>110</v>
      </c>
      <c r="E14" t="s">
        <v>111</v>
      </c>
    </row>
    <row r="15" spans="1:13" x14ac:dyDescent="0.25">
      <c r="A15" t="s">
        <v>112</v>
      </c>
      <c r="B15" t="s">
        <v>84</v>
      </c>
      <c r="C15" t="s">
        <v>113</v>
      </c>
      <c r="D15" t="s">
        <v>114</v>
      </c>
      <c r="E15" t="s">
        <v>115</v>
      </c>
    </row>
    <row r="16" spans="1:13" x14ac:dyDescent="0.25">
      <c r="A16" t="s">
        <v>116</v>
      </c>
      <c r="B16" t="s">
        <v>84</v>
      </c>
      <c r="C16" t="s">
        <v>117</v>
      </c>
      <c r="D16" t="s">
        <v>118</v>
      </c>
      <c r="E16" t="s">
        <v>119</v>
      </c>
    </row>
    <row r="17" spans="1:10" x14ac:dyDescent="0.25">
      <c r="A17">
        <v>2026</v>
      </c>
    </row>
    <row r="18" spans="1:10" x14ac:dyDescent="0.25">
      <c r="A18" t="s">
        <v>79</v>
      </c>
      <c r="B18" t="s">
        <v>84</v>
      </c>
      <c r="C18" s="28">
        <v>824.78</v>
      </c>
      <c r="D18">
        <v>433.24</v>
      </c>
      <c r="E18" t="s">
        <v>120</v>
      </c>
      <c r="H18" s="160">
        <f>SUM(D18:D29)</f>
        <v>5286.7</v>
      </c>
      <c r="J18" s="160">
        <f>271591-H18</f>
        <v>266304.3</v>
      </c>
    </row>
    <row r="19" spans="1:10" x14ac:dyDescent="0.25">
      <c r="A19" t="s">
        <v>81</v>
      </c>
      <c r="B19" t="s">
        <v>84</v>
      </c>
      <c r="C19" s="28">
        <v>823.46</v>
      </c>
      <c r="D19">
        <v>434.55</v>
      </c>
      <c r="E19" t="s">
        <v>121</v>
      </c>
      <c r="H19">
        <f>SUM(C18:C29)</f>
        <v>9809.4699999999993</v>
      </c>
    </row>
    <row r="20" spans="1:10" x14ac:dyDescent="0.25">
      <c r="A20" t="s">
        <v>82</v>
      </c>
      <c r="B20" t="s">
        <v>84</v>
      </c>
      <c r="C20" s="28">
        <v>822.14</v>
      </c>
      <c r="D20">
        <v>435.88</v>
      </c>
      <c r="E20" t="s">
        <v>122</v>
      </c>
    </row>
    <row r="21" spans="1:10" x14ac:dyDescent="0.25">
      <c r="A21" t="s">
        <v>83</v>
      </c>
      <c r="B21" t="s">
        <v>84</v>
      </c>
      <c r="C21" s="28">
        <v>820.81</v>
      </c>
      <c r="D21">
        <v>437.2</v>
      </c>
      <c r="E21" t="s">
        <v>123</v>
      </c>
    </row>
    <row r="22" spans="1:10" x14ac:dyDescent="0.25">
      <c r="A22" t="s">
        <v>88</v>
      </c>
      <c r="B22" t="s">
        <v>84</v>
      </c>
      <c r="C22" s="28">
        <v>819.48</v>
      </c>
      <c r="D22">
        <v>438.53</v>
      </c>
      <c r="E22" t="s">
        <v>124</v>
      </c>
    </row>
    <row r="23" spans="1:10" x14ac:dyDescent="0.25">
      <c r="A23" t="s">
        <v>92</v>
      </c>
      <c r="B23" t="s">
        <v>84</v>
      </c>
      <c r="C23" s="28">
        <v>818.15</v>
      </c>
      <c r="D23">
        <v>439.87</v>
      </c>
      <c r="E23" t="s">
        <v>125</v>
      </c>
    </row>
    <row r="24" spans="1:10" x14ac:dyDescent="0.25">
      <c r="A24" t="s">
        <v>96</v>
      </c>
      <c r="B24" t="s">
        <v>84</v>
      </c>
      <c r="C24" s="28">
        <v>816.81</v>
      </c>
      <c r="D24">
        <v>441.2</v>
      </c>
      <c r="E24" t="s">
        <v>126</v>
      </c>
    </row>
    <row r="25" spans="1:10" x14ac:dyDescent="0.25">
      <c r="A25" t="s">
        <v>100</v>
      </c>
      <c r="B25" t="s">
        <v>84</v>
      </c>
      <c r="C25" s="28">
        <v>815.47</v>
      </c>
      <c r="D25">
        <v>442.55</v>
      </c>
      <c r="E25" t="s">
        <v>127</v>
      </c>
    </row>
    <row r="26" spans="1:10" x14ac:dyDescent="0.25">
      <c r="A26" t="s">
        <v>104</v>
      </c>
      <c r="B26" t="s">
        <v>84</v>
      </c>
      <c r="C26" s="28">
        <v>814.12</v>
      </c>
      <c r="D26">
        <v>443.89</v>
      </c>
      <c r="E26" t="s">
        <v>128</v>
      </c>
    </row>
    <row r="27" spans="1:10" x14ac:dyDescent="0.25">
      <c r="A27" t="s">
        <v>108</v>
      </c>
      <c r="B27" t="s">
        <v>84</v>
      </c>
      <c r="C27" s="28">
        <v>812.77</v>
      </c>
      <c r="D27">
        <v>445.24</v>
      </c>
      <c r="E27" t="s">
        <v>129</v>
      </c>
    </row>
    <row r="28" spans="1:10" x14ac:dyDescent="0.25">
      <c r="A28" t="s">
        <v>112</v>
      </c>
      <c r="B28" t="s">
        <v>84</v>
      </c>
      <c r="C28" s="28">
        <v>811.42</v>
      </c>
      <c r="D28">
        <v>446.6</v>
      </c>
      <c r="E28" t="s">
        <v>130</v>
      </c>
    </row>
    <row r="29" spans="1:10" x14ac:dyDescent="0.25">
      <c r="A29" t="s">
        <v>116</v>
      </c>
      <c r="B29" t="s">
        <v>84</v>
      </c>
      <c r="C29" s="28">
        <v>810.06</v>
      </c>
      <c r="D29">
        <v>447.95</v>
      </c>
      <c r="E29" t="s">
        <v>131</v>
      </c>
    </row>
    <row r="30" spans="1:10" x14ac:dyDescent="0.25">
      <c r="A30">
        <v>2027</v>
      </c>
    </row>
    <row r="31" spans="1:10" x14ac:dyDescent="0.25">
      <c r="A31" t="s">
        <v>79</v>
      </c>
      <c r="B31" t="s">
        <v>84</v>
      </c>
      <c r="C31" t="s">
        <v>132</v>
      </c>
      <c r="D31" t="s">
        <v>133</v>
      </c>
      <c r="E31" t="s">
        <v>134</v>
      </c>
    </row>
    <row r="32" spans="1:10" x14ac:dyDescent="0.25">
      <c r="A32" t="s">
        <v>81</v>
      </c>
      <c r="B32" t="s">
        <v>84</v>
      </c>
      <c r="C32" t="s">
        <v>135</v>
      </c>
      <c r="D32" t="s">
        <v>136</v>
      </c>
      <c r="E32" t="s">
        <v>137</v>
      </c>
    </row>
    <row r="33" spans="1:5" x14ac:dyDescent="0.25">
      <c r="A33" t="s">
        <v>82</v>
      </c>
      <c r="B33" t="s">
        <v>84</v>
      </c>
      <c r="C33" t="s">
        <v>138</v>
      </c>
      <c r="D33" t="s">
        <v>139</v>
      </c>
      <c r="E33" t="s">
        <v>140</v>
      </c>
    </row>
    <row r="34" spans="1:5" x14ac:dyDescent="0.25">
      <c r="A34" t="s">
        <v>83</v>
      </c>
      <c r="B34" t="s">
        <v>84</v>
      </c>
      <c r="C34" t="s">
        <v>141</v>
      </c>
      <c r="D34" t="s">
        <v>142</v>
      </c>
      <c r="E34" t="s">
        <v>143</v>
      </c>
    </row>
    <row r="35" spans="1:5" x14ac:dyDescent="0.25">
      <c r="A35" t="s">
        <v>88</v>
      </c>
      <c r="B35" t="s">
        <v>84</v>
      </c>
      <c r="C35" t="s">
        <v>144</v>
      </c>
      <c r="D35" t="s">
        <v>145</v>
      </c>
      <c r="E35" t="s">
        <v>146</v>
      </c>
    </row>
    <row r="36" spans="1:5" x14ac:dyDescent="0.25">
      <c r="A36" t="s">
        <v>92</v>
      </c>
      <c r="B36" t="s">
        <v>84</v>
      </c>
      <c r="C36" t="s">
        <v>147</v>
      </c>
      <c r="D36" t="s">
        <v>148</v>
      </c>
      <c r="E36" t="s">
        <v>149</v>
      </c>
    </row>
    <row r="37" spans="1:5" x14ac:dyDescent="0.25">
      <c r="A37" t="s">
        <v>96</v>
      </c>
      <c r="B37" t="s">
        <v>84</v>
      </c>
      <c r="C37" t="s">
        <v>150</v>
      </c>
      <c r="D37" t="s">
        <v>151</v>
      </c>
      <c r="E37" t="s">
        <v>152</v>
      </c>
    </row>
    <row r="38" spans="1:5" x14ac:dyDescent="0.25">
      <c r="A38" t="s">
        <v>100</v>
      </c>
      <c r="B38" t="s">
        <v>84</v>
      </c>
      <c r="C38" t="s">
        <v>153</v>
      </c>
      <c r="D38" t="s">
        <v>154</v>
      </c>
      <c r="E38" t="s">
        <v>155</v>
      </c>
    </row>
    <row r="39" spans="1:5" x14ac:dyDescent="0.25">
      <c r="A39" t="s">
        <v>104</v>
      </c>
      <c r="B39" t="s">
        <v>84</v>
      </c>
      <c r="C39" t="s">
        <v>156</v>
      </c>
      <c r="D39" t="s">
        <v>157</v>
      </c>
      <c r="E39" t="s">
        <v>158</v>
      </c>
    </row>
    <row r="40" spans="1:5" x14ac:dyDescent="0.25">
      <c r="A40" t="s">
        <v>108</v>
      </c>
      <c r="B40" t="s">
        <v>84</v>
      </c>
      <c r="C40" t="s">
        <v>159</v>
      </c>
      <c r="D40" t="s">
        <v>160</v>
      </c>
      <c r="E40" t="s">
        <v>161</v>
      </c>
    </row>
    <row r="41" spans="1:5" x14ac:dyDescent="0.25">
      <c r="A41" t="s">
        <v>112</v>
      </c>
      <c r="B41" t="s">
        <v>84</v>
      </c>
      <c r="C41" t="s">
        <v>162</v>
      </c>
      <c r="D41" t="s">
        <v>163</v>
      </c>
      <c r="E41" t="s">
        <v>164</v>
      </c>
    </row>
    <row r="42" spans="1:5" x14ac:dyDescent="0.25">
      <c r="A42" t="s">
        <v>116</v>
      </c>
      <c r="B42" t="s">
        <v>84</v>
      </c>
      <c r="C42" t="s">
        <v>165</v>
      </c>
      <c r="D42" t="s">
        <v>166</v>
      </c>
      <c r="E42" t="s">
        <v>167</v>
      </c>
    </row>
    <row r="43" spans="1:5" x14ac:dyDescent="0.25">
      <c r="A43">
        <v>2028</v>
      </c>
    </row>
    <row r="44" spans="1:5" x14ac:dyDescent="0.25">
      <c r="A44" t="s">
        <v>79</v>
      </c>
      <c r="B44" t="s">
        <v>84</v>
      </c>
      <c r="C44" t="s">
        <v>168</v>
      </c>
      <c r="D44" t="s">
        <v>169</v>
      </c>
      <c r="E44" t="s">
        <v>170</v>
      </c>
    </row>
    <row r="45" spans="1:5" x14ac:dyDescent="0.25">
      <c r="A45" t="s">
        <v>81</v>
      </c>
      <c r="B45" t="s">
        <v>84</v>
      </c>
      <c r="C45" t="s">
        <v>171</v>
      </c>
      <c r="D45" t="s">
        <v>172</v>
      </c>
      <c r="E45" t="s">
        <v>173</v>
      </c>
    </row>
    <row r="46" spans="1:5" x14ac:dyDescent="0.25">
      <c r="A46" t="s">
        <v>82</v>
      </c>
      <c r="B46" t="s">
        <v>84</v>
      </c>
      <c r="C46" t="s">
        <v>174</v>
      </c>
      <c r="D46" t="s">
        <v>175</v>
      </c>
      <c r="E46" t="s">
        <v>176</v>
      </c>
    </row>
    <row r="47" spans="1:5" x14ac:dyDescent="0.25">
      <c r="A47" t="s">
        <v>83</v>
      </c>
      <c r="B47" t="s">
        <v>84</v>
      </c>
      <c r="C47" t="s">
        <v>177</v>
      </c>
      <c r="D47" t="s">
        <v>178</v>
      </c>
      <c r="E47" t="s">
        <v>179</v>
      </c>
    </row>
    <row r="48" spans="1:5" x14ac:dyDescent="0.25">
      <c r="A48" t="s">
        <v>88</v>
      </c>
      <c r="B48" t="s">
        <v>84</v>
      </c>
      <c r="C48" t="s">
        <v>180</v>
      </c>
      <c r="D48" t="s">
        <v>181</v>
      </c>
      <c r="E48" t="s">
        <v>182</v>
      </c>
    </row>
    <row r="49" spans="1:5" x14ac:dyDescent="0.25">
      <c r="A49" t="s">
        <v>92</v>
      </c>
      <c r="B49" t="s">
        <v>84</v>
      </c>
      <c r="C49" t="s">
        <v>183</v>
      </c>
      <c r="D49" t="s">
        <v>184</v>
      </c>
      <c r="E49" t="s">
        <v>185</v>
      </c>
    </row>
    <row r="50" spans="1:5" x14ac:dyDescent="0.25">
      <c r="A50" t="s">
        <v>96</v>
      </c>
      <c r="B50" t="s">
        <v>84</v>
      </c>
      <c r="C50" t="s">
        <v>186</v>
      </c>
      <c r="D50" t="s">
        <v>187</v>
      </c>
      <c r="E50" t="s">
        <v>188</v>
      </c>
    </row>
    <row r="51" spans="1:5" x14ac:dyDescent="0.25">
      <c r="A51" t="s">
        <v>100</v>
      </c>
      <c r="B51" t="s">
        <v>84</v>
      </c>
      <c r="C51" t="s">
        <v>189</v>
      </c>
      <c r="D51" t="s">
        <v>190</v>
      </c>
      <c r="E51" t="s">
        <v>191</v>
      </c>
    </row>
    <row r="52" spans="1:5" x14ac:dyDescent="0.25">
      <c r="A52" t="s">
        <v>104</v>
      </c>
      <c r="B52" t="s">
        <v>84</v>
      </c>
      <c r="C52" t="s">
        <v>192</v>
      </c>
      <c r="D52" t="s">
        <v>193</v>
      </c>
      <c r="E52" t="s">
        <v>194</v>
      </c>
    </row>
    <row r="53" spans="1:5" x14ac:dyDescent="0.25">
      <c r="A53" t="s">
        <v>108</v>
      </c>
      <c r="B53" t="s">
        <v>84</v>
      </c>
      <c r="C53" t="s">
        <v>195</v>
      </c>
      <c r="D53" t="s">
        <v>196</v>
      </c>
      <c r="E53" t="s">
        <v>197</v>
      </c>
    </row>
    <row r="54" spans="1:5" x14ac:dyDescent="0.25">
      <c r="A54" t="s">
        <v>112</v>
      </c>
      <c r="B54" t="s">
        <v>84</v>
      </c>
      <c r="C54" t="s">
        <v>198</v>
      </c>
      <c r="D54" t="s">
        <v>199</v>
      </c>
      <c r="E54" t="s">
        <v>200</v>
      </c>
    </row>
    <row r="55" spans="1:5" x14ac:dyDescent="0.25">
      <c r="A55" t="s">
        <v>116</v>
      </c>
      <c r="B55" t="s">
        <v>84</v>
      </c>
      <c r="C55" t="s">
        <v>201</v>
      </c>
      <c r="D55" t="s">
        <v>202</v>
      </c>
      <c r="E55" t="s">
        <v>203</v>
      </c>
    </row>
    <row r="56" spans="1:5" x14ac:dyDescent="0.25">
      <c r="A56">
        <v>2029</v>
      </c>
    </row>
    <row r="57" spans="1:5" x14ac:dyDescent="0.25">
      <c r="A57" t="s">
        <v>79</v>
      </c>
      <c r="B57" t="s">
        <v>84</v>
      </c>
      <c r="C57" t="s">
        <v>204</v>
      </c>
      <c r="D57" t="s">
        <v>205</v>
      </c>
      <c r="E57" t="s">
        <v>206</v>
      </c>
    </row>
    <row r="58" spans="1:5" x14ac:dyDescent="0.25">
      <c r="A58" t="s">
        <v>81</v>
      </c>
      <c r="B58" t="s">
        <v>84</v>
      </c>
      <c r="C58" t="s">
        <v>207</v>
      </c>
      <c r="D58" t="s">
        <v>208</v>
      </c>
      <c r="E58" t="s">
        <v>209</v>
      </c>
    </row>
    <row r="59" spans="1:5" x14ac:dyDescent="0.25">
      <c r="A59" t="s">
        <v>82</v>
      </c>
      <c r="B59" t="s">
        <v>84</v>
      </c>
      <c r="C59" t="s">
        <v>210</v>
      </c>
      <c r="D59" t="s">
        <v>211</v>
      </c>
      <c r="E59" t="s">
        <v>212</v>
      </c>
    </row>
    <row r="60" spans="1:5" x14ac:dyDescent="0.25">
      <c r="A60" t="s">
        <v>83</v>
      </c>
      <c r="B60" t="s">
        <v>84</v>
      </c>
      <c r="C60" t="s">
        <v>213</v>
      </c>
      <c r="D60" t="s">
        <v>214</v>
      </c>
      <c r="E60" t="s">
        <v>215</v>
      </c>
    </row>
    <row r="61" spans="1:5" x14ac:dyDescent="0.25">
      <c r="A61" t="s">
        <v>88</v>
      </c>
      <c r="B61" t="s">
        <v>84</v>
      </c>
      <c r="C61" t="s">
        <v>216</v>
      </c>
      <c r="D61" t="s">
        <v>217</v>
      </c>
      <c r="E61" t="s">
        <v>218</v>
      </c>
    </row>
    <row r="62" spans="1:5" x14ac:dyDescent="0.25">
      <c r="A62" t="s">
        <v>92</v>
      </c>
      <c r="B62" t="s">
        <v>84</v>
      </c>
      <c r="C62" t="s">
        <v>219</v>
      </c>
      <c r="D62" t="s">
        <v>220</v>
      </c>
      <c r="E62" t="s">
        <v>221</v>
      </c>
    </row>
    <row r="63" spans="1:5" x14ac:dyDescent="0.25">
      <c r="A63" t="s">
        <v>96</v>
      </c>
      <c r="B63" t="s">
        <v>84</v>
      </c>
      <c r="C63" t="s">
        <v>222</v>
      </c>
      <c r="D63" t="s">
        <v>223</v>
      </c>
      <c r="E63" t="s">
        <v>224</v>
      </c>
    </row>
    <row r="64" spans="1:5" x14ac:dyDescent="0.25">
      <c r="A64" t="s">
        <v>100</v>
      </c>
      <c r="B64" t="s">
        <v>84</v>
      </c>
      <c r="C64" t="s">
        <v>225</v>
      </c>
      <c r="D64" t="s">
        <v>226</v>
      </c>
      <c r="E64" t="s">
        <v>227</v>
      </c>
    </row>
    <row r="65" spans="1:5" x14ac:dyDescent="0.25">
      <c r="A65" t="s">
        <v>104</v>
      </c>
      <c r="B65" t="s">
        <v>84</v>
      </c>
      <c r="C65" t="s">
        <v>228</v>
      </c>
      <c r="D65" t="s">
        <v>229</v>
      </c>
      <c r="E65" t="s">
        <v>230</v>
      </c>
    </row>
    <row r="66" spans="1:5" x14ac:dyDescent="0.25">
      <c r="A66" t="s">
        <v>108</v>
      </c>
      <c r="B66" t="s">
        <v>84</v>
      </c>
      <c r="C66" t="s">
        <v>231</v>
      </c>
      <c r="D66" t="s">
        <v>232</v>
      </c>
      <c r="E66" t="s">
        <v>233</v>
      </c>
    </row>
    <row r="67" spans="1:5" x14ac:dyDescent="0.25">
      <c r="A67" t="s">
        <v>112</v>
      </c>
      <c r="B67" t="s">
        <v>84</v>
      </c>
      <c r="C67" t="s">
        <v>234</v>
      </c>
      <c r="D67" t="s">
        <v>235</v>
      </c>
      <c r="E67" t="s">
        <v>236</v>
      </c>
    </row>
    <row r="68" spans="1:5" x14ac:dyDescent="0.25">
      <c r="A68" t="s">
        <v>116</v>
      </c>
      <c r="B68" t="s">
        <v>84</v>
      </c>
      <c r="C68" t="s">
        <v>237</v>
      </c>
      <c r="D68" t="s">
        <v>238</v>
      </c>
      <c r="E68" t="s">
        <v>239</v>
      </c>
    </row>
    <row r="69" spans="1:5" x14ac:dyDescent="0.25">
      <c r="A69">
        <v>2030</v>
      </c>
    </row>
    <row r="70" spans="1:5" x14ac:dyDescent="0.25">
      <c r="A70" t="s">
        <v>79</v>
      </c>
      <c r="B70" t="s">
        <v>84</v>
      </c>
      <c r="C70" t="s">
        <v>240</v>
      </c>
      <c r="D70" t="s">
        <v>241</v>
      </c>
      <c r="E70" t="s">
        <v>242</v>
      </c>
    </row>
    <row r="71" spans="1:5" x14ac:dyDescent="0.25">
      <c r="A71" t="s">
        <v>81</v>
      </c>
      <c r="B71" t="s">
        <v>84</v>
      </c>
      <c r="C71" t="s">
        <v>243</v>
      </c>
      <c r="D71" t="s">
        <v>244</v>
      </c>
      <c r="E71" t="s">
        <v>245</v>
      </c>
    </row>
    <row r="72" spans="1:5" x14ac:dyDescent="0.25">
      <c r="A72" t="s">
        <v>82</v>
      </c>
      <c r="B72" t="s">
        <v>84</v>
      </c>
      <c r="C72" t="s">
        <v>246</v>
      </c>
      <c r="D72" t="s">
        <v>247</v>
      </c>
      <c r="E72" t="s">
        <v>248</v>
      </c>
    </row>
    <row r="73" spans="1:5" x14ac:dyDescent="0.25">
      <c r="A73" t="s">
        <v>83</v>
      </c>
      <c r="B73" t="s">
        <v>84</v>
      </c>
      <c r="C73" t="s">
        <v>249</v>
      </c>
      <c r="D73" t="s">
        <v>250</v>
      </c>
      <c r="E73" t="s">
        <v>251</v>
      </c>
    </row>
    <row r="74" spans="1:5" x14ac:dyDescent="0.25">
      <c r="A74" t="s">
        <v>88</v>
      </c>
      <c r="B74" t="s">
        <v>84</v>
      </c>
      <c r="C74" t="s">
        <v>252</v>
      </c>
      <c r="D74" t="s">
        <v>253</v>
      </c>
      <c r="E74" t="s">
        <v>254</v>
      </c>
    </row>
    <row r="75" spans="1:5" x14ac:dyDescent="0.25">
      <c r="A75" t="s">
        <v>92</v>
      </c>
      <c r="B75" t="s">
        <v>84</v>
      </c>
      <c r="C75" t="s">
        <v>255</v>
      </c>
      <c r="D75" t="s">
        <v>256</v>
      </c>
      <c r="E75" t="s">
        <v>257</v>
      </c>
    </row>
    <row r="76" spans="1:5" x14ac:dyDescent="0.25">
      <c r="A76" t="s">
        <v>96</v>
      </c>
      <c r="B76" t="s">
        <v>84</v>
      </c>
      <c r="C76" t="s">
        <v>258</v>
      </c>
      <c r="D76" t="s">
        <v>259</v>
      </c>
      <c r="E76" t="s">
        <v>260</v>
      </c>
    </row>
    <row r="77" spans="1:5" x14ac:dyDescent="0.25">
      <c r="A77" t="s">
        <v>100</v>
      </c>
      <c r="B77" t="s">
        <v>84</v>
      </c>
      <c r="C77" t="s">
        <v>261</v>
      </c>
      <c r="D77" t="s">
        <v>262</v>
      </c>
      <c r="E77" t="s">
        <v>263</v>
      </c>
    </row>
    <row r="78" spans="1:5" x14ac:dyDescent="0.25">
      <c r="A78" t="s">
        <v>104</v>
      </c>
      <c r="B78" t="s">
        <v>84</v>
      </c>
      <c r="C78" t="s">
        <v>264</v>
      </c>
      <c r="D78" t="s">
        <v>265</v>
      </c>
      <c r="E78" t="s">
        <v>266</v>
      </c>
    </row>
    <row r="79" spans="1:5" x14ac:dyDescent="0.25">
      <c r="A79" t="s">
        <v>108</v>
      </c>
      <c r="B79" t="s">
        <v>84</v>
      </c>
      <c r="C79" t="s">
        <v>267</v>
      </c>
      <c r="D79" t="s">
        <v>268</v>
      </c>
      <c r="E79" t="s">
        <v>269</v>
      </c>
    </row>
    <row r="80" spans="1:5" x14ac:dyDescent="0.25">
      <c r="A80" t="s">
        <v>112</v>
      </c>
      <c r="B80" t="s">
        <v>84</v>
      </c>
      <c r="C80" t="s">
        <v>270</v>
      </c>
      <c r="D80" t="s">
        <v>271</v>
      </c>
      <c r="E80" t="s">
        <v>272</v>
      </c>
    </row>
    <row r="81" spans="1:5" x14ac:dyDescent="0.25">
      <c r="A81" t="s">
        <v>116</v>
      </c>
      <c r="B81" t="s">
        <v>84</v>
      </c>
      <c r="C81" t="s">
        <v>273</v>
      </c>
      <c r="D81" t="s">
        <v>274</v>
      </c>
      <c r="E81" t="s">
        <v>275</v>
      </c>
    </row>
    <row r="82" spans="1:5" x14ac:dyDescent="0.25">
      <c r="A82">
        <v>2031</v>
      </c>
    </row>
    <row r="83" spans="1:5" x14ac:dyDescent="0.25">
      <c r="A83" t="s">
        <v>79</v>
      </c>
      <c r="B83" t="s">
        <v>84</v>
      </c>
      <c r="C83" t="s">
        <v>276</v>
      </c>
      <c r="D83" t="s">
        <v>277</v>
      </c>
      <c r="E83" t="s">
        <v>278</v>
      </c>
    </row>
    <row r="84" spans="1:5" x14ac:dyDescent="0.25">
      <c r="A84" t="s">
        <v>81</v>
      </c>
      <c r="B84" t="s">
        <v>84</v>
      </c>
      <c r="C84" t="s">
        <v>279</v>
      </c>
      <c r="D84" t="s">
        <v>280</v>
      </c>
      <c r="E84" t="s">
        <v>281</v>
      </c>
    </row>
    <row r="85" spans="1:5" x14ac:dyDescent="0.25">
      <c r="A85" t="s">
        <v>82</v>
      </c>
      <c r="B85" t="s">
        <v>84</v>
      </c>
      <c r="C85" t="s">
        <v>282</v>
      </c>
      <c r="D85" t="s">
        <v>283</v>
      </c>
      <c r="E85" t="s">
        <v>284</v>
      </c>
    </row>
    <row r="86" spans="1:5" x14ac:dyDescent="0.25">
      <c r="A86" t="s">
        <v>83</v>
      </c>
      <c r="B86" t="s">
        <v>84</v>
      </c>
      <c r="C86" t="s">
        <v>285</v>
      </c>
      <c r="D86" t="s">
        <v>286</v>
      </c>
      <c r="E86" t="s">
        <v>287</v>
      </c>
    </row>
    <row r="87" spans="1:5" x14ac:dyDescent="0.25">
      <c r="A87" t="s">
        <v>88</v>
      </c>
      <c r="B87" t="s">
        <v>84</v>
      </c>
      <c r="C87" t="s">
        <v>288</v>
      </c>
      <c r="D87" t="s">
        <v>289</v>
      </c>
      <c r="E87" t="s">
        <v>290</v>
      </c>
    </row>
    <row r="88" spans="1:5" x14ac:dyDescent="0.25">
      <c r="A88" t="s">
        <v>92</v>
      </c>
      <c r="B88" t="s">
        <v>84</v>
      </c>
      <c r="C88" t="s">
        <v>291</v>
      </c>
      <c r="D88" t="s">
        <v>292</v>
      </c>
      <c r="E88" t="s">
        <v>293</v>
      </c>
    </row>
    <row r="89" spans="1:5" x14ac:dyDescent="0.25">
      <c r="A89" t="s">
        <v>96</v>
      </c>
      <c r="B89" t="s">
        <v>84</v>
      </c>
      <c r="C89" t="s">
        <v>294</v>
      </c>
      <c r="D89" t="s">
        <v>295</v>
      </c>
      <c r="E89" t="s">
        <v>296</v>
      </c>
    </row>
    <row r="90" spans="1:5" x14ac:dyDescent="0.25">
      <c r="A90" t="s">
        <v>100</v>
      </c>
      <c r="B90" t="s">
        <v>84</v>
      </c>
      <c r="C90" t="s">
        <v>297</v>
      </c>
      <c r="D90" t="s">
        <v>298</v>
      </c>
      <c r="E90" t="s">
        <v>299</v>
      </c>
    </row>
    <row r="91" spans="1:5" x14ac:dyDescent="0.25">
      <c r="A91" t="s">
        <v>104</v>
      </c>
      <c r="B91" t="s">
        <v>84</v>
      </c>
      <c r="C91" t="s">
        <v>300</v>
      </c>
      <c r="D91" t="s">
        <v>301</v>
      </c>
      <c r="E91" t="s">
        <v>302</v>
      </c>
    </row>
    <row r="92" spans="1:5" x14ac:dyDescent="0.25">
      <c r="A92" t="s">
        <v>108</v>
      </c>
      <c r="B92" t="s">
        <v>84</v>
      </c>
      <c r="C92" t="s">
        <v>303</v>
      </c>
      <c r="D92" t="s">
        <v>304</v>
      </c>
      <c r="E92" t="s">
        <v>305</v>
      </c>
    </row>
    <row r="93" spans="1:5" x14ac:dyDescent="0.25">
      <c r="A93" t="s">
        <v>112</v>
      </c>
      <c r="B93" t="s">
        <v>84</v>
      </c>
      <c r="C93" t="s">
        <v>306</v>
      </c>
      <c r="D93" t="s">
        <v>307</v>
      </c>
      <c r="E93" t="s">
        <v>308</v>
      </c>
    </row>
    <row r="94" spans="1:5" x14ac:dyDescent="0.25">
      <c r="A94" t="s">
        <v>116</v>
      </c>
      <c r="B94" t="s">
        <v>84</v>
      </c>
      <c r="C94" t="s">
        <v>309</v>
      </c>
      <c r="D94" t="s">
        <v>310</v>
      </c>
      <c r="E94" t="s">
        <v>311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3414-6A9A-4BE3-934F-157AE9020C24}">
  <dimension ref="A1:U52"/>
  <sheetViews>
    <sheetView topLeftCell="A6" zoomScale="85" zoomScaleNormal="85" workbookViewId="0">
      <selection activeCell="A53" sqref="A53"/>
    </sheetView>
  </sheetViews>
  <sheetFormatPr defaultRowHeight="15" x14ac:dyDescent="0.25"/>
  <cols>
    <col min="1" max="1" width="40.28515625" style="134" customWidth="1"/>
    <col min="2" max="2" width="15.85546875" style="199" customWidth="1"/>
    <col min="3" max="3" width="15.140625" style="200" customWidth="1"/>
    <col min="4" max="4" width="11" bestFit="1" customWidth="1"/>
    <col min="5" max="5" width="9.28515625" bestFit="1" customWidth="1"/>
    <col min="6" max="6" width="10.42578125" bestFit="1" customWidth="1"/>
    <col min="7" max="7" width="9.28515625" bestFit="1" customWidth="1"/>
    <col min="8" max="8" width="10.28515625" bestFit="1" customWidth="1"/>
    <col min="9" max="9" width="9.7109375" bestFit="1" customWidth="1"/>
    <col min="10" max="10" width="10" bestFit="1" customWidth="1"/>
    <col min="11" max="11" width="9.85546875" bestFit="1" customWidth="1"/>
    <col min="12" max="12" width="18.140625" bestFit="1" customWidth="1"/>
    <col min="13" max="13" width="9.5703125" bestFit="1" customWidth="1"/>
    <col min="14" max="15" width="10.140625" bestFit="1" customWidth="1"/>
    <col min="16" max="16" width="12.42578125" bestFit="1" customWidth="1"/>
    <col min="17" max="17" width="27.5703125" bestFit="1" customWidth="1"/>
    <col min="18" max="18" width="18.7109375" bestFit="1" customWidth="1"/>
    <col min="19" max="19" width="34.85546875" bestFit="1" customWidth="1"/>
    <col min="20" max="20" width="32.140625" bestFit="1" customWidth="1"/>
    <col min="21" max="21" width="12.42578125" bestFit="1" customWidth="1"/>
    <col min="22" max="22" width="17" bestFit="1" customWidth="1"/>
  </cols>
  <sheetData>
    <row r="1" spans="1:21" s="134" customFormat="1" ht="15.75" thickBot="1" x14ac:dyDescent="0.3">
      <c r="A1" s="134" t="s">
        <v>401</v>
      </c>
      <c r="B1" s="161" t="s">
        <v>402</v>
      </c>
      <c r="C1" s="162" t="s">
        <v>403</v>
      </c>
      <c r="D1" s="134" t="s">
        <v>404</v>
      </c>
      <c r="E1" s="134" t="s">
        <v>405</v>
      </c>
      <c r="F1" s="134" t="s">
        <v>406</v>
      </c>
      <c r="G1" s="134" t="s">
        <v>407</v>
      </c>
      <c r="H1" s="134" t="s">
        <v>408</v>
      </c>
      <c r="I1" s="134" t="s">
        <v>409</v>
      </c>
      <c r="J1" s="134" t="s">
        <v>410</v>
      </c>
      <c r="K1" s="134" t="s">
        <v>411</v>
      </c>
      <c r="M1" s="134" t="s">
        <v>412</v>
      </c>
    </row>
    <row r="2" spans="1:21" ht="15.75" thickBot="1" x14ac:dyDescent="0.3">
      <c r="A2" s="163" t="s">
        <v>413</v>
      </c>
      <c r="B2" s="164"/>
      <c r="C2" s="164">
        <v>0.28521999999999997</v>
      </c>
      <c r="D2" s="164">
        <f>$C2*F40</f>
        <v>42.782999999999994</v>
      </c>
      <c r="E2" s="164">
        <f>$C2*G40</f>
        <v>27.951559999999997</v>
      </c>
      <c r="F2" s="164">
        <f>$C2*H40</f>
        <v>33.370739999999998</v>
      </c>
      <c r="G2" s="164">
        <f>$C2*I40</f>
        <v>25.955019999999998</v>
      </c>
      <c r="H2" s="164">
        <v>0</v>
      </c>
      <c r="I2" s="164">
        <v>0</v>
      </c>
      <c r="J2" s="164">
        <v>0</v>
      </c>
      <c r="K2" s="164">
        <v>0</v>
      </c>
      <c r="L2" s="165"/>
      <c r="M2" s="166" t="s">
        <v>404</v>
      </c>
      <c r="N2" s="166" t="s">
        <v>405</v>
      </c>
      <c r="O2" s="166" t="s">
        <v>406</v>
      </c>
      <c r="P2" s="166" t="s">
        <v>407</v>
      </c>
      <c r="Q2" s="166" t="s">
        <v>408</v>
      </c>
      <c r="R2" s="166" t="s">
        <v>409</v>
      </c>
      <c r="S2" s="166" t="s">
        <v>410</v>
      </c>
      <c r="T2" s="166" t="s">
        <v>411</v>
      </c>
      <c r="U2" s="167" t="s">
        <v>414</v>
      </c>
    </row>
    <row r="3" spans="1:21" ht="15.75" thickBot="1" x14ac:dyDescent="0.3">
      <c r="A3" s="168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70" t="s">
        <v>415</v>
      </c>
      <c r="M3" s="164">
        <f>(D2+D8+$D20+$D22)-$D24/12</f>
        <v>91.347800000000007</v>
      </c>
      <c r="N3" s="164">
        <f>(E2+E8+$D20+$D22)-$D24/12</f>
        <v>83.080870000000004</v>
      </c>
      <c r="O3" s="164">
        <f>(F2+F8+$D20+$D22)-$D24/12</f>
        <v>79.017979999999994</v>
      </c>
      <c r="P3" s="164">
        <f>(G2+G8+$D20+$D22)-$D24/12</f>
        <v>69.657219999999995</v>
      </c>
      <c r="Q3" s="164">
        <f>(H2+H8+$D20+$D22)-$D24/12</f>
        <v>-2.4925000000000068</v>
      </c>
      <c r="R3" s="164">
        <f t="shared" ref="R3:T3" si="0">(I2+I8+$D20+$D22)-$D24/12</f>
        <v>-2.4925000000000068</v>
      </c>
      <c r="S3" s="164">
        <f t="shared" si="0"/>
        <v>-2.4925000000000068</v>
      </c>
      <c r="T3" s="164">
        <f t="shared" si="0"/>
        <v>-2.4925000000000068</v>
      </c>
      <c r="U3" s="92">
        <f>SUM(M3:P3)/4</f>
        <v>80.775967500000007</v>
      </c>
    </row>
    <row r="4" spans="1:21" ht="15.75" thickBot="1" x14ac:dyDescent="0.3">
      <c r="A4" s="168" t="s">
        <v>416</v>
      </c>
      <c r="B4" s="169">
        <v>0.13417999999999999</v>
      </c>
      <c r="C4" s="169"/>
      <c r="D4" s="169"/>
      <c r="E4" s="169"/>
      <c r="F4" s="169"/>
      <c r="G4" s="169"/>
      <c r="H4" s="169"/>
      <c r="I4" s="169"/>
      <c r="J4" s="169"/>
      <c r="K4" s="169"/>
      <c r="L4" s="171" t="s">
        <v>417</v>
      </c>
      <c r="M4" s="169">
        <f>D28+$C34+$C36</f>
        <v>60.806910000000002</v>
      </c>
      <c r="N4" s="169">
        <f>E28+$C34+$C36</f>
        <v>58.244569999999996</v>
      </c>
      <c r="O4" s="169">
        <f t="shared" ref="O4:T4" si="1">F28+$C34+$C36</f>
        <v>56.963399999999993</v>
      </c>
      <c r="P4" s="169">
        <f t="shared" si="1"/>
        <v>69.775099999999995</v>
      </c>
      <c r="Q4" s="169">
        <f t="shared" si="1"/>
        <v>82.586799999999997</v>
      </c>
      <c r="R4" s="169">
        <f t="shared" si="1"/>
        <v>95.398499999999999</v>
      </c>
      <c r="S4" s="169">
        <f t="shared" si="1"/>
        <v>95.398499999999999</v>
      </c>
      <c r="T4" s="169">
        <f t="shared" si="1"/>
        <v>95.398499999999999</v>
      </c>
      <c r="U4" s="92">
        <f>SUM(M4:O4)/3</f>
        <v>58.671626666666668</v>
      </c>
    </row>
    <row r="5" spans="1:21" ht="15.75" thickBot="1" x14ac:dyDescent="0.3">
      <c r="A5" s="168" t="s">
        <v>418</v>
      </c>
      <c r="B5" s="169">
        <v>0.10154000000000001</v>
      </c>
      <c r="C5" s="169"/>
      <c r="D5" s="169"/>
      <c r="E5" s="169"/>
      <c r="F5" s="169"/>
      <c r="G5" s="169"/>
      <c r="H5" s="169"/>
      <c r="I5" s="169"/>
      <c r="J5" s="169"/>
      <c r="K5" s="169"/>
      <c r="L5" s="172" t="s">
        <v>63</v>
      </c>
      <c r="M5" s="173">
        <f>M3+M4</f>
        <v>152.15471000000002</v>
      </c>
      <c r="N5" s="173">
        <f t="shared" ref="N5:T5" si="2">N3+N4</f>
        <v>141.32544000000001</v>
      </c>
      <c r="O5" s="173">
        <f t="shared" si="2"/>
        <v>135.98138</v>
      </c>
      <c r="P5" s="173">
        <f t="shared" si="2"/>
        <v>139.43232</v>
      </c>
      <c r="Q5" s="173">
        <f t="shared" si="2"/>
        <v>80.09429999999999</v>
      </c>
      <c r="R5" s="173">
        <f t="shared" si="2"/>
        <v>92.905999999999992</v>
      </c>
      <c r="S5" s="173">
        <f t="shared" si="2"/>
        <v>92.905999999999992</v>
      </c>
      <c r="T5" s="173">
        <f t="shared" si="2"/>
        <v>92.905999999999992</v>
      </c>
      <c r="U5" s="174">
        <f>SUM(M5:O5)/3</f>
        <v>143.15384333333336</v>
      </c>
    </row>
    <row r="6" spans="1:21" ht="15.75" thickBot="1" x14ac:dyDescent="0.3">
      <c r="A6" s="168" t="s">
        <v>419</v>
      </c>
      <c r="B6" s="169">
        <v>4.9500000000000002E-2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</row>
    <row r="7" spans="1:21" x14ac:dyDescent="0.25">
      <c r="A7" s="168" t="s">
        <v>63</v>
      </c>
      <c r="B7" s="169">
        <v>0.28521999999999997</v>
      </c>
      <c r="C7" s="169"/>
      <c r="D7" s="169"/>
      <c r="E7" s="169"/>
      <c r="F7" s="169"/>
      <c r="G7" s="169"/>
      <c r="H7" s="169"/>
      <c r="I7" s="169"/>
      <c r="J7" s="169"/>
      <c r="K7" s="169"/>
      <c r="L7" s="175" t="s">
        <v>420</v>
      </c>
      <c r="M7" s="92">
        <v>23</v>
      </c>
    </row>
    <row r="8" spans="1:21" ht="15.75" thickBot="1" x14ac:dyDescent="0.3">
      <c r="A8" s="168" t="s">
        <v>421</v>
      </c>
      <c r="B8" s="169"/>
      <c r="C8" s="169">
        <v>0.24313000000000001</v>
      </c>
      <c r="D8" s="169">
        <f>$C8*F39</f>
        <v>51.057300000000005</v>
      </c>
      <c r="E8" s="169">
        <f>$C8*G39</f>
        <v>57.621810000000004</v>
      </c>
      <c r="F8" s="169">
        <f>$C8*H39</f>
        <v>48.139740000000003</v>
      </c>
      <c r="G8" s="169">
        <f>$C8*I39</f>
        <v>46.194700000000005</v>
      </c>
      <c r="H8" s="169"/>
      <c r="I8" s="169"/>
      <c r="J8" s="169"/>
      <c r="K8" s="169"/>
      <c r="L8" s="176" t="s">
        <v>422</v>
      </c>
      <c r="M8" s="87">
        <v>117</v>
      </c>
    </row>
    <row r="9" spans="1:21" x14ac:dyDescent="0.25">
      <c r="A9" s="168"/>
      <c r="B9" s="169"/>
      <c r="C9" s="169"/>
      <c r="D9" s="169"/>
      <c r="E9" s="169"/>
      <c r="F9" s="169"/>
      <c r="G9" s="169"/>
      <c r="H9" s="169"/>
      <c r="I9" s="169"/>
      <c r="J9" s="169"/>
      <c r="K9" s="177"/>
      <c r="L9" s="169"/>
    </row>
    <row r="10" spans="1:21" x14ac:dyDescent="0.25">
      <c r="A10" s="168" t="s">
        <v>423</v>
      </c>
      <c r="B10" s="169">
        <v>9.9390000000000006E-2</v>
      </c>
      <c r="C10" s="169"/>
      <c r="D10" s="169"/>
      <c r="E10" s="169"/>
      <c r="F10" s="169"/>
      <c r="G10" s="169"/>
      <c r="H10" s="169"/>
      <c r="I10" s="169"/>
      <c r="J10" s="169"/>
      <c r="K10" s="177"/>
      <c r="L10" s="169"/>
    </row>
    <row r="11" spans="1:21" x14ac:dyDescent="0.25">
      <c r="A11" s="168" t="s">
        <v>418</v>
      </c>
      <c r="B11" s="169">
        <v>0.10154000000000001</v>
      </c>
      <c r="C11" s="169"/>
      <c r="D11" s="169"/>
      <c r="E11" s="169"/>
      <c r="F11" s="169"/>
      <c r="G11" s="169"/>
      <c r="H11" s="169"/>
      <c r="I11" s="169"/>
      <c r="J11" s="169"/>
      <c r="K11" s="177"/>
      <c r="L11" s="169"/>
    </row>
    <row r="12" spans="1:21" x14ac:dyDescent="0.25">
      <c r="A12" s="168" t="s">
        <v>424</v>
      </c>
      <c r="B12" s="169">
        <v>4.2200000000000001E-2</v>
      </c>
      <c r="C12" s="169"/>
      <c r="D12" s="169"/>
      <c r="E12" s="169"/>
      <c r="F12" s="169"/>
      <c r="G12" s="169"/>
      <c r="H12" s="169"/>
      <c r="I12" s="169"/>
      <c r="J12" s="169"/>
      <c r="K12" s="177"/>
      <c r="L12" s="169"/>
    </row>
    <row r="13" spans="1:21" x14ac:dyDescent="0.25">
      <c r="A13" s="168" t="s">
        <v>63</v>
      </c>
      <c r="B13" s="169">
        <f>SUM(B10:B12)</f>
        <v>0.24313000000000001</v>
      </c>
      <c r="C13" s="169"/>
      <c r="D13" s="169"/>
      <c r="E13" s="169"/>
      <c r="F13" s="169"/>
      <c r="G13" s="169"/>
      <c r="H13" s="169"/>
      <c r="I13" s="169"/>
      <c r="J13" s="169"/>
      <c r="K13" s="177"/>
      <c r="L13" s="169"/>
    </row>
    <row r="14" spans="1:21" ht="15.75" thickBot="1" x14ac:dyDescent="0.3">
      <c r="A14" s="168" t="s">
        <v>425</v>
      </c>
      <c r="B14" s="169"/>
      <c r="C14" s="169"/>
      <c r="D14" s="169"/>
      <c r="E14" s="169"/>
      <c r="F14" s="169"/>
      <c r="G14" s="169"/>
      <c r="H14" s="169"/>
      <c r="I14" s="169"/>
      <c r="J14" s="169"/>
      <c r="K14" s="177"/>
      <c r="L14" s="169"/>
      <c r="M14" s="134" t="s">
        <v>426</v>
      </c>
    </row>
    <row r="15" spans="1:21" x14ac:dyDescent="0.25">
      <c r="A15" s="168" t="s">
        <v>427</v>
      </c>
      <c r="B15" s="169"/>
      <c r="C15" s="169"/>
      <c r="D15" s="169"/>
      <c r="E15" s="169"/>
      <c r="F15" s="169"/>
      <c r="G15" s="169"/>
      <c r="H15" s="169"/>
      <c r="I15" s="169"/>
      <c r="J15" s="169"/>
      <c r="K15" s="177"/>
      <c r="L15" s="169"/>
      <c r="M15" s="178"/>
      <c r="N15" s="179" t="s">
        <v>428</v>
      </c>
      <c r="O15" s="179" t="s">
        <v>429</v>
      </c>
      <c r="P15" s="179" t="s">
        <v>430</v>
      </c>
      <c r="Q15" s="179" t="s">
        <v>431</v>
      </c>
      <c r="R15" s="179" t="s">
        <v>432</v>
      </c>
      <c r="S15" s="179" t="s">
        <v>433</v>
      </c>
      <c r="T15" s="180" t="s">
        <v>434</v>
      </c>
      <c r="U15" s="103" t="s">
        <v>435</v>
      </c>
    </row>
    <row r="16" spans="1:21" x14ac:dyDescent="0.25">
      <c r="A16" s="168" t="s">
        <v>436</v>
      </c>
      <c r="B16" s="169"/>
      <c r="C16" s="169"/>
      <c r="D16" s="169"/>
      <c r="E16" s="169"/>
      <c r="F16" s="169"/>
      <c r="G16" s="169"/>
      <c r="H16" s="169"/>
      <c r="I16" s="169"/>
      <c r="J16" s="169"/>
      <c r="K16" s="177"/>
      <c r="L16" s="169"/>
      <c r="M16" s="181" t="s">
        <v>437</v>
      </c>
      <c r="N16" s="28">
        <f>$R39*12</f>
        <v>2797</v>
      </c>
      <c r="O16" s="28">
        <f>N16/N18*100</f>
        <v>60.42341758479153</v>
      </c>
      <c r="P16" s="28">
        <f>O16/100*3500</f>
        <v>2114.8196154677034</v>
      </c>
      <c r="Q16" s="28">
        <f>N16-P16</f>
        <v>682.18038453229656</v>
      </c>
      <c r="R16" s="28">
        <f>Q16*C8</f>
        <v>165.85851689133727</v>
      </c>
      <c r="S16" s="28">
        <f t="shared" ref="S16:S17" si="3">R16/12</f>
        <v>13.821543074278106</v>
      </c>
      <c r="T16" s="143">
        <f>N28*C8/12</f>
        <v>56.669550833333339</v>
      </c>
      <c r="U16" s="102">
        <f>T16*12</f>
        <v>680.03461000000004</v>
      </c>
    </row>
    <row r="17" spans="1:21" x14ac:dyDescent="0.25">
      <c r="A17" s="168" t="s">
        <v>427</v>
      </c>
      <c r="B17" s="169"/>
      <c r="C17" s="169"/>
      <c r="D17" s="169"/>
      <c r="E17" s="169"/>
      <c r="F17" s="169"/>
      <c r="G17" s="169"/>
      <c r="H17" s="169"/>
      <c r="I17" s="169"/>
      <c r="J17" s="169"/>
      <c r="K17" s="177"/>
      <c r="L17" s="169"/>
      <c r="M17" s="181" t="s">
        <v>438</v>
      </c>
      <c r="N17" s="28">
        <f>$R40*12</f>
        <v>1832</v>
      </c>
      <c r="O17" s="28">
        <f>N17/N18*100</f>
        <v>39.576582415208463</v>
      </c>
      <c r="P17" s="28">
        <f>O17/100*3500</f>
        <v>1385.1803845322961</v>
      </c>
      <c r="Q17" s="28">
        <f>N17-P17</f>
        <v>446.8196154677039</v>
      </c>
      <c r="R17" s="28">
        <f>Q17*C2</f>
        <v>127.44189072369849</v>
      </c>
      <c r="S17" s="28">
        <f t="shared" si="3"/>
        <v>10.620157560308208</v>
      </c>
      <c r="T17" s="143">
        <f>N29*C2/12</f>
        <v>43.543586666666663</v>
      </c>
      <c r="U17" s="102">
        <f t="shared" ref="U17:U23" si="4">T17*12</f>
        <v>522.52303999999992</v>
      </c>
    </row>
    <row r="18" spans="1:21" ht="15.75" thickBot="1" x14ac:dyDescent="0.3">
      <c r="A18" s="168" t="s">
        <v>439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77"/>
      <c r="L18" s="169"/>
      <c r="M18" s="182" t="s">
        <v>34</v>
      </c>
      <c r="N18" s="183">
        <f>SUM(N16:N17)</f>
        <v>4629</v>
      </c>
      <c r="O18" s="183">
        <f>SUM(O16:O17)</f>
        <v>100</v>
      </c>
      <c r="P18" s="183">
        <f>SUM(P16:P17)</f>
        <v>3499.9999999999995</v>
      </c>
      <c r="Q18" s="183">
        <f>SUM(Q16:Q17)</f>
        <v>1129.0000000000005</v>
      </c>
      <c r="R18" s="183">
        <f>SUM(R16:R17)</f>
        <v>293.30040761503574</v>
      </c>
      <c r="S18" s="183">
        <f>R18/12</f>
        <v>24.441700634586311</v>
      </c>
      <c r="T18" s="184">
        <f>SUM(T16:T17)</f>
        <v>100.2131375</v>
      </c>
      <c r="U18" s="102">
        <f t="shared" si="4"/>
        <v>1202.55765</v>
      </c>
    </row>
    <row r="19" spans="1:21" x14ac:dyDescent="0.25">
      <c r="A19" s="168" t="s">
        <v>440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77"/>
      <c r="L19" s="169"/>
      <c r="M19" s="28"/>
      <c r="N19" s="28"/>
      <c r="O19" s="28"/>
      <c r="P19" s="28"/>
      <c r="Q19" s="28"/>
      <c r="R19" s="28"/>
      <c r="S19" s="185" t="s">
        <v>441</v>
      </c>
      <c r="T19" s="142">
        <f>T18-S18</f>
        <v>75.77143686541369</v>
      </c>
      <c r="U19" s="102">
        <f t="shared" si="4"/>
        <v>909.25724238496423</v>
      </c>
    </row>
    <row r="20" spans="1:21" x14ac:dyDescent="0.25">
      <c r="A20" s="168" t="s">
        <v>442</v>
      </c>
      <c r="B20" s="169"/>
      <c r="C20" s="169">
        <v>10.78</v>
      </c>
      <c r="D20" s="169">
        <v>10.78</v>
      </c>
      <c r="E20" s="169"/>
      <c r="F20" s="169"/>
      <c r="G20" s="169"/>
      <c r="H20" s="169"/>
      <c r="I20" s="169"/>
      <c r="J20" s="169"/>
      <c r="K20" s="177"/>
      <c r="L20" s="169"/>
      <c r="M20" s="28"/>
      <c r="N20" s="28"/>
      <c r="O20" s="28"/>
      <c r="P20" s="28"/>
      <c r="Q20" s="28"/>
      <c r="R20" s="28"/>
      <c r="S20" s="181" t="s">
        <v>443</v>
      </c>
      <c r="T20" s="143">
        <v>49</v>
      </c>
      <c r="U20" s="102">
        <f t="shared" si="4"/>
        <v>588</v>
      </c>
    </row>
    <row r="21" spans="1:21" ht="15.75" thickBo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77"/>
      <c r="L21" s="169"/>
      <c r="M21" s="28"/>
      <c r="N21" s="28"/>
      <c r="O21" s="28"/>
      <c r="P21" s="28"/>
      <c r="Q21" s="28"/>
      <c r="R21" s="28"/>
      <c r="S21" s="186" t="s">
        <v>444</v>
      </c>
      <c r="T21" s="144">
        <f>T19-T20</f>
        <v>26.77143686541369</v>
      </c>
      <c r="U21" s="102">
        <f t="shared" si="4"/>
        <v>321.25724238496429</v>
      </c>
    </row>
    <row r="22" spans="1:21" x14ac:dyDescent="0.25">
      <c r="A22" s="168" t="s">
        <v>445</v>
      </c>
      <c r="B22" s="169"/>
      <c r="C22" s="169">
        <v>39.659999999999997</v>
      </c>
      <c r="D22" s="169">
        <v>39.659999999999997</v>
      </c>
      <c r="E22" s="169"/>
      <c r="F22" s="169"/>
      <c r="G22" s="169"/>
      <c r="H22" s="169"/>
      <c r="I22" s="169"/>
      <c r="J22" s="169"/>
      <c r="K22" s="177"/>
      <c r="L22" s="169"/>
      <c r="M22" s="28"/>
      <c r="N22" s="28"/>
      <c r="O22" s="28"/>
      <c r="P22" s="28"/>
      <c r="Q22" s="28"/>
      <c r="R22" s="28"/>
      <c r="S22" s="187" t="s">
        <v>446</v>
      </c>
      <c r="T22" s="188">
        <f>S18+T20</f>
        <v>73.441700634586311</v>
      </c>
      <c r="U22" s="189">
        <f t="shared" si="4"/>
        <v>881.30040761503574</v>
      </c>
    </row>
    <row r="23" spans="1:21" x14ac:dyDescent="0.25">
      <c r="A23" s="168"/>
      <c r="B23" s="169"/>
      <c r="C23" s="169"/>
      <c r="D23" s="169"/>
      <c r="E23" s="169"/>
      <c r="F23" s="169"/>
      <c r="G23" s="169"/>
      <c r="H23" s="169"/>
      <c r="I23" s="169"/>
      <c r="J23" s="169"/>
      <c r="K23" s="177"/>
      <c r="L23" s="169"/>
      <c r="M23" s="28"/>
      <c r="N23" s="28"/>
      <c r="O23" s="28"/>
      <c r="P23" s="28"/>
      <c r="Q23" s="28"/>
      <c r="R23" s="28"/>
      <c r="S23" s="190" t="s">
        <v>447</v>
      </c>
      <c r="T23" s="191">
        <f>T18</f>
        <v>100.2131375</v>
      </c>
      <c r="U23" s="192">
        <f t="shared" si="4"/>
        <v>1202.55765</v>
      </c>
    </row>
    <row r="24" spans="1:21" ht="15.75" thickBot="1" x14ac:dyDescent="0.3">
      <c r="A24" s="168" t="s">
        <v>448</v>
      </c>
      <c r="B24" s="169"/>
      <c r="C24">
        <v>635.19000000000005</v>
      </c>
      <c r="D24">
        <v>635.19000000000005</v>
      </c>
      <c r="K24" s="90"/>
      <c r="L24" s="169"/>
      <c r="M24" s="28"/>
      <c r="N24" s="28"/>
      <c r="O24" s="28"/>
      <c r="P24" s="28"/>
      <c r="Q24" s="28"/>
      <c r="R24" s="28"/>
      <c r="S24" s="193" t="s">
        <v>449</v>
      </c>
      <c r="T24" s="194">
        <f>T23-T22</f>
        <v>26.77143686541369</v>
      </c>
      <c r="U24" s="195">
        <f>T24*12</f>
        <v>321.25724238496429</v>
      </c>
    </row>
    <row r="25" spans="1:21" ht="15.75" thickBot="1" x14ac:dyDescent="0.3">
      <c r="A25" s="196"/>
      <c r="B25" s="197"/>
      <c r="C25" s="197">
        <f>C24/12</f>
        <v>52.932500000000005</v>
      </c>
      <c r="D25" s="197"/>
      <c r="E25" s="197"/>
      <c r="F25" s="197"/>
      <c r="G25" s="197"/>
      <c r="H25" s="197"/>
      <c r="I25" s="197"/>
      <c r="J25" s="197"/>
      <c r="K25" s="198"/>
      <c r="L25" s="169"/>
    </row>
    <row r="26" spans="1:21" ht="15.75" thickBot="1" x14ac:dyDescent="0.3">
      <c r="A26" s="134" t="s">
        <v>450</v>
      </c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34" t="s">
        <v>451</v>
      </c>
    </row>
    <row r="27" spans="1:21" x14ac:dyDescent="0.25">
      <c r="A27" s="134" t="s">
        <v>452</v>
      </c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78"/>
      <c r="N27" s="179" t="s">
        <v>428</v>
      </c>
      <c r="O27" s="179" t="s">
        <v>429</v>
      </c>
      <c r="P27" s="179" t="s">
        <v>430</v>
      </c>
      <c r="Q27" s="179" t="s">
        <v>431</v>
      </c>
      <c r="R27" s="179" t="s">
        <v>432</v>
      </c>
      <c r="S27" s="179" t="s">
        <v>433</v>
      </c>
      <c r="T27" s="180" t="s">
        <v>434</v>
      </c>
      <c r="U27" s="103" t="s">
        <v>435</v>
      </c>
    </row>
    <row r="28" spans="1:21" x14ac:dyDescent="0.25">
      <c r="A28" s="134" t="s">
        <v>453</v>
      </c>
      <c r="B28" s="169"/>
      <c r="C28" s="169">
        <v>1.2811699999999999</v>
      </c>
      <c r="D28" s="169">
        <f t="shared" ref="D28:K28" si="5">$C28*F42</f>
        <v>29.466909999999999</v>
      </c>
      <c r="E28" s="169">
        <f t="shared" si="5"/>
        <v>26.90457</v>
      </c>
      <c r="F28" s="169">
        <f t="shared" si="5"/>
        <v>25.623399999999997</v>
      </c>
      <c r="G28" s="169">
        <f t="shared" si="5"/>
        <v>38.435099999999998</v>
      </c>
      <c r="H28" s="169">
        <f t="shared" si="5"/>
        <v>51.246799999999993</v>
      </c>
      <c r="I28" s="169">
        <f t="shared" si="5"/>
        <v>64.058499999999995</v>
      </c>
      <c r="J28" s="169">
        <f t="shared" si="5"/>
        <v>64.058499999999995</v>
      </c>
      <c r="K28" s="169">
        <f t="shared" si="5"/>
        <v>64.058499999999995</v>
      </c>
      <c r="L28" s="169"/>
      <c r="M28" s="181" t="s">
        <v>437</v>
      </c>
      <c r="N28" s="28">
        <f>$R39*12</f>
        <v>2797</v>
      </c>
      <c r="O28" s="28">
        <f>N28/N30*100</f>
        <v>60.42341758479153</v>
      </c>
      <c r="P28" s="28">
        <f>O28/100*3000</f>
        <v>1812.7025275437459</v>
      </c>
      <c r="Q28" s="28">
        <f>N28-P28</f>
        <v>984.29747245625413</v>
      </c>
      <c r="R28" s="28">
        <f>Q28*C8</f>
        <v>239.31224447828907</v>
      </c>
      <c r="S28" s="28">
        <f t="shared" ref="S28:S29" si="6">R28/12</f>
        <v>19.942687039857422</v>
      </c>
      <c r="T28" s="143">
        <f>N28*C8/12</f>
        <v>56.669550833333339</v>
      </c>
      <c r="U28" s="102">
        <f t="shared" ref="U28:U33" si="7">T28*12</f>
        <v>680.03461000000004</v>
      </c>
    </row>
    <row r="29" spans="1:21" x14ac:dyDescent="0.25"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81" t="s">
        <v>438</v>
      </c>
      <c r="N29" s="28">
        <f>$R40*12</f>
        <v>1832</v>
      </c>
      <c r="O29" s="28">
        <f>N29/N30*100</f>
        <v>39.576582415208463</v>
      </c>
      <c r="P29" s="28">
        <f>O29/100*3000</f>
        <v>1187.2974724562539</v>
      </c>
      <c r="Q29" s="28">
        <f>N29-P29</f>
        <v>644.7025275437461</v>
      </c>
      <c r="R29" s="28">
        <f>Q29*C2</f>
        <v>183.88205490602724</v>
      </c>
      <c r="S29" s="28">
        <f t="shared" si="6"/>
        <v>15.32350457550227</v>
      </c>
      <c r="T29" s="143">
        <f>N29*C2/12</f>
        <v>43.543586666666663</v>
      </c>
      <c r="U29" s="102">
        <f t="shared" si="7"/>
        <v>522.52303999999992</v>
      </c>
    </row>
    <row r="30" spans="1:21" ht="15.75" thickBot="1" x14ac:dyDescent="0.3">
      <c r="A30" s="134" t="s">
        <v>454</v>
      </c>
      <c r="B30" s="169">
        <v>0.48065999999999998</v>
      </c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82" t="s">
        <v>34</v>
      </c>
      <c r="N30" s="183">
        <f>SUM(N28:N29)</f>
        <v>4629</v>
      </c>
      <c r="O30" s="183">
        <f>SUM(O28:O29)</f>
        <v>100</v>
      </c>
      <c r="P30" s="183">
        <f>SUM(P28:P29)</f>
        <v>3000</v>
      </c>
      <c r="Q30" s="183">
        <f>SUM(Q28:Q29)</f>
        <v>1629.0000000000002</v>
      </c>
      <c r="R30" s="183">
        <f>SUM(R28:R29)</f>
        <v>423.19429938431631</v>
      </c>
      <c r="S30" s="183">
        <f>R30/12</f>
        <v>35.266191615359695</v>
      </c>
      <c r="T30" s="184">
        <f>SUM(T28:T29)</f>
        <v>100.2131375</v>
      </c>
      <c r="U30" s="102">
        <f t="shared" si="7"/>
        <v>1202.55765</v>
      </c>
    </row>
    <row r="31" spans="1:21" x14ac:dyDescent="0.25">
      <c r="A31" s="134" t="s">
        <v>418</v>
      </c>
      <c r="B31" s="169">
        <v>0.57816000000000001</v>
      </c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28"/>
      <c r="N31" s="28"/>
      <c r="O31" s="28"/>
      <c r="P31" s="28"/>
      <c r="Q31" s="28"/>
      <c r="R31" s="28"/>
      <c r="S31" s="185" t="s">
        <v>441</v>
      </c>
      <c r="T31" s="142">
        <f>T30-S30</f>
        <v>64.946945884640314</v>
      </c>
      <c r="U31" s="102">
        <f t="shared" si="7"/>
        <v>779.36335061568377</v>
      </c>
    </row>
    <row r="32" spans="1:21" x14ac:dyDescent="0.25">
      <c r="A32" s="134" t="s">
        <v>419</v>
      </c>
      <c r="B32" s="169">
        <v>0.22234999999999999</v>
      </c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28"/>
      <c r="N32" s="28"/>
      <c r="O32" s="28"/>
      <c r="P32" s="28"/>
      <c r="Q32" s="28"/>
      <c r="R32" s="28"/>
      <c r="S32" s="181" t="s">
        <v>443</v>
      </c>
      <c r="T32" s="143">
        <v>49</v>
      </c>
      <c r="U32" s="102">
        <f>T32*12</f>
        <v>588</v>
      </c>
    </row>
    <row r="33" spans="1:21" ht="15.75" thickBot="1" x14ac:dyDescent="0.3">
      <c r="A33" s="134" t="s">
        <v>63</v>
      </c>
      <c r="B33" s="169">
        <v>1.2811699999999999</v>
      </c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28"/>
      <c r="N33" s="28"/>
      <c r="O33" s="28"/>
      <c r="P33" s="28"/>
      <c r="Q33" s="28"/>
      <c r="R33" s="28"/>
      <c r="S33" s="186" t="s">
        <v>444</v>
      </c>
      <c r="T33" s="144">
        <f>T31-T32</f>
        <v>15.946945884640314</v>
      </c>
      <c r="U33" s="102">
        <f t="shared" si="7"/>
        <v>191.36335061568377</v>
      </c>
    </row>
    <row r="34" spans="1:21" x14ac:dyDescent="0.25">
      <c r="A34" s="134" t="s">
        <v>442</v>
      </c>
      <c r="B34" s="169"/>
      <c r="C34" s="169">
        <v>10.83</v>
      </c>
      <c r="D34" s="169"/>
      <c r="E34" s="169"/>
      <c r="F34" s="169"/>
      <c r="G34" s="169"/>
      <c r="H34" s="169"/>
      <c r="I34" s="169"/>
      <c r="J34" s="169"/>
      <c r="K34" s="169"/>
      <c r="L34" s="169"/>
      <c r="M34" s="28"/>
      <c r="N34" s="28"/>
      <c r="O34" s="28"/>
      <c r="P34" s="28"/>
      <c r="Q34" s="28"/>
      <c r="R34" s="28"/>
      <c r="S34" s="187" t="s">
        <v>455</v>
      </c>
      <c r="T34" s="188">
        <f>S30+T32</f>
        <v>84.266191615359702</v>
      </c>
      <c r="U34" s="189">
        <f>T34*12</f>
        <v>1011.1942993843164</v>
      </c>
    </row>
    <row r="35" spans="1:21" x14ac:dyDescent="0.25"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28" t="s">
        <v>456</v>
      </c>
      <c r="N35" s="28"/>
      <c r="O35" s="28"/>
      <c r="P35" s="28"/>
      <c r="Q35" s="28"/>
      <c r="R35" s="28"/>
      <c r="S35" s="190" t="s">
        <v>447</v>
      </c>
      <c r="T35" s="191">
        <f>T30</f>
        <v>100.2131375</v>
      </c>
      <c r="U35" s="192">
        <f t="shared" ref="U35:U36" si="8">T35*12</f>
        <v>1202.55765</v>
      </c>
    </row>
    <row r="36" spans="1:21" ht="15.75" thickBot="1" x14ac:dyDescent="0.3">
      <c r="A36" s="134" t="s">
        <v>445</v>
      </c>
      <c r="B36" s="169"/>
      <c r="C36" s="169">
        <v>20.51</v>
      </c>
      <c r="D36" s="169"/>
      <c r="E36" s="169"/>
      <c r="F36" s="169"/>
      <c r="G36" s="169"/>
      <c r="H36" s="169"/>
      <c r="I36" s="169"/>
      <c r="J36" s="169"/>
      <c r="K36" s="169"/>
      <c r="L36" s="169"/>
      <c r="M36" s="28">
        <f>C20+C22</f>
        <v>50.44</v>
      </c>
      <c r="N36" s="28"/>
      <c r="O36" s="28"/>
      <c r="P36" s="28"/>
      <c r="Q36" s="28"/>
      <c r="R36" s="28"/>
      <c r="S36" s="193" t="s">
        <v>449</v>
      </c>
      <c r="T36" s="194">
        <f>T35-T34</f>
        <v>15.9469458846403</v>
      </c>
      <c r="U36" s="195">
        <f t="shared" si="8"/>
        <v>191.3633506156836</v>
      </c>
    </row>
    <row r="37" spans="1:21" ht="15.75" thickBot="1" x14ac:dyDescent="0.3"/>
    <row r="38" spans="1:21" ht="15.75" thickBot="1" x14ac:dyDescent="0.3">
      <c r="A38" s="163"/>
      <c r="B38" s="201" t="s">
        <v>457</v>
      </c>
      <c r="C38" s="202" t="s">
        <v>458</v>
      </c>
      <c r="D38" s="203" t="s">
        <v>459</v>
      </c>
      <c r="E38" s="203" t="s">
        <v>460</v>
      </c>
      <c r="F38" s="201" t="s">
        <v>404</v>
      </c>
      <c r="G38" s="202" t="s">
        <v>92</v>
      </c>
      <c r="H38" s="203" t="s">
        <v>96</v>
      </c>
      <c r="I38" s="203" t="s">
        <v>100</v>
      </c>
      <c r="J38" s="203" t="s">
        <v>104</v>
      </c>
      <c r="K38" s="203" t="s">
        <v>108</v>
      </c>
      <c r="L38" s="203" t="s">
        <v>112</v>
      </c>
      <c r="M38" s="203" t="s">
        <v>116</v>
      </c>
      <c r="N38" s="203"/>
      <c r="O38" s="203" t="s">
        <v>34</v>
      </c>
      <c r="P38" s="174" t="s">
        <v>461</v>
      </c>
      <c r="Q38" s="204" t="s">
        <v>462</v>
      </c>
      <c r="R38" s="95"/>
      <c r="S38" s="205" t="s">
        <v>463</v>
      </c>
    </row>
    <row r="39" spans="1:21" x14ac:dyDescent="0.25">
      <c r="A39" s="168" t="s">
        <v>464</v>
      </c>
      <c r="B39" s="28">
        <v>307</v>
      </c>
      <c r="C39" s="28">
        <v>270</v>
      </c>
      <c r="D39" s="28">
        <v>275</v>
      </c>
      <c r="E39" s="28">
        <v>250</v>
      </c>
      <c r="F39" s="28">
        <v>210</v>
      </c>
      <c r="G39" s="28">
        <v>237</v>
      </c>
      <c r="H39" s="28">
        <v>198</v>
      </c>
      <c r="I39" s="28">
        <v>190</v>
      </c>
      <c r="J39" s="28">
        <v>200</v>
      </c>
      <c r="K39" s="28">
        <v>210</v>
      </c>
      <c r="L39" s="28">
        <v>220</v>
      </c>
      <c r="M39" s="28">
        <v>230</v>
      </c>
      <c r="N39" s="28"/>
      <c r="O39" s="28">
        <f>SUM(B39:M39)</f>
        <v>2797</v>
      </c>
      <c r="P39" s="143">
        <f>O39/12</f>
        <v>233.08333333333334</v>
      </c>
      <c r="Q39" s="140" t="s">
        <v>465</v>
      </c>
      <c r="R39" s="92">
        <f>P39</f>
        <v>233.08333333333334</v>
      </c>
      <c r="S39" s="102">
        <f>R39*C8</f>
        <v>56.669550833333339</v>
      </c>
    </row>
    <row r="40" spans="1:21" x14ac:dyDescent="0.25">
      <c r="A40" s="168" t="s">
        <v>466</v>
      </c>
      <c r="B40" s="28">
        <v>144</v>
      </c>
      <c r="C40" s="28">
        <v>114</v>
      </c>
      <c r="D40" s="28">
        <v>122</v>
      </c>
      <c r="E40" s="28">
        <v>96</v>
      </c>
      <c r="F40" s="28">
        <v>150</v>
      </c>
      <c r="G40" s="28">
        <v>98</v>
      </c>
      <c r="H40" s="28">
        <v>117</v>
      </c>
      <c r="I40" s="28">
        <v>91</v>
      </c>
      <c r="J40" s="28">
        <v>150</v>
      </c>
      <c r="K40" s="28">
        <v>200</v>
      </c>
      <c r="L40" s="28">
        <v>250</v>
      </c>
      <c r="M40" s="28">
        <v>300</v>
      </c>
      <c r="N40" s="28"/>
      <c r="O40" s="28">
        <f>SUM(B40:M40)</f>
        <v>1832</v>
      </c>
      <c r="P40" s="143">
        <f>O40/12</f>
        <v>152.66666666666666</v>
      </c>
      <c r="Q40" s="100" t="s">
        <v>467</v>
      </c>
      <c r="R40" s="90">
        <f>P40</f>
        <v>152.66666666666666</v>
      </c>
      <c r="S40" s="102">
        <f>R40*C2</f>
        <v>43.543586666666663</v>
      </c>
    </row>
    <row r="41" spans="1:21" s="28" customFormat="1" x14ac:dyDescent="0.25">
      <c r="A41" s="181" t="s">
        <v>468</v>
      </c>
      <c r="B41" s="28">
        <f t="shared" ref="B41:E41" si="9">SUM(B39:B40)</f>
        <v>451</v>
      </c>
      <c r="C41" s="28">
        <f t="shared" si="9"/>
        <v>384</v>
      </c>
      <c r="D41" s="28">
        <f t="shared" si="9"/>
        <v>397</v>
      </c>
      <c r="E41" s="28">
        <f t="shared" si="9"/>
        <v>346</v>
      </c>
      <c r="F41" s="28">
        <f>SUM(F39:F40)</f>
        <v>360</v>
      </c>
      <c r="G41" s="28">
        <f t="shared" ref="G41:M41" si="10">SUM(G39:G40)</f>
        <v>335</v>
      </c>
      <c r="H41" s="28">
        <f t="shared" si="10"/>
        <v>315</v>
      </c>
      <c r="I41" s="28">
        <f t="shared" si="10"/>
        <v>281</v>
      </c>
      <c r="J41" s="28">
        <f t="shared" si="10"/>
        <v>350</v>
      </c>
      <c r="K41" s="28">
        <f t="shared" si="10"/>
        <v>410</v>
      </c>
      <c r="L41" s="28">
        <f t="shared" si="10"/>
        <v>470</v>
      </c>
      <c r="M41" s="28">
        <f t="shared" si="10"/>
        <v>530</v>
      </c>
      <c r="O41" s="28">
        <f>SUM(F41:M41)</f>
        <v>3051</v>
      </c>
      <c r="P41" s="143">
        <f>O41/12</f>
        <v>254.25</v>
      </c>
      <c r="Q41" s="100" t="s">
        <v>63</v>
      </c>
      <c r="R41" s="90">
        <f>SUM(R39:R40)</f>
        <v>385.75</v>
      </c>
      <c r="S41" s="206">
        <f>SUM(S39:S40)</f>
        <v>100.2131375</v>
      </c>
    </row>
    <row r="42" spans="1:21" ht="15.75" thickBot="1" x14ac:dyDescent="0.3">
      <c r="A42" s="196" t="s">
        <v>454</v>
      </c>
      <c r="B42" s="207">
        <v>261</v>
      </c>
      <c r="C42" s="207">
        <v>149</v>
      </c>
      <c r="D42" s="207">
        <v>95</v>
      </c>
      <c r="E42" s="207">
        <v>36</v>
      </c>
      <c r="F42" s="207">
        <v>23</v>
      </c>
      <c r="G42" s="207">
        <v>21</v>
      </c>
      <c r="H42" s="207">
        <v>20</v>
      </c>
      <c r="I42" s="207">
        <v>30</v>
      </c>
      <c r="J42" s="207">
        <v>40</v>
      </c>
      <c r="K42" s="207">
        <v>50</v>
      </c>
      <c r="L42" s="207">
        <v>50</v>
      </c>
      <c r="M42" s="207">
        <v>50</v>
      </c>
      <c r="N42" s="207"/>
      <c r="O42" s="207">
        <f>SUM(B42:M42)</f>
        <v>825</v>
      </c>
      <c r="P42" s="144">
        <f>O42/12</f>
        <v>68.75</v>
      </c>
      <c r="Q42" s="99" t="s">
        <v>469</v>
      </c>
      <c r="R42" s="87">
        <f>P42</f>
        <v>68.75</v>
      </c>
      <c r="S42" s="101">
        <f>R42*C28</f>
        <v>88.080437499999988</v>
      </c>
    </row>
    <row r="43" spans="1:21" x14ac:dyDescent="0.25">
      <c r="A43" s="208" t="s">
        <v>430</v>
      </c>
      <c r="B43" s="28">
        <v>100</v>
      </c>
      <c r="C43" s="28">
        <v>150</v>
      </c>
      <c r="D43" s="28">
        <v>250</v>
      </c>
      <c r="E43" s="28">
        <v>350</v>
      </c>
      <c r="F43" s="28">
        <v>450</v>
      </c>
      <c r="G43" s="28">
        <v>450</v>
      </c>
      <c r="H43" s="28">
        <v>450</v>
      </c>
      <c r="I43" s="28">
        <v>350</v>
      </c>
      <c r="J43" s="28">
        <v>300</v>
      </c>
      <c r="K43" s="28">
        <v>200</v>
      </c>
      <c r="L43" s="28">
        <v>100</v>
      </c>
      <c r="M43" s="28">
        <v>75</v>
      </c>
      <c r="N43" s="28"/>
      <c r="O43" s="28"/>
      <c r="P43" s="28"/>
      <c r="Q43" s="28"/>
      <c r="R43" s="140" t="s">
        <v>63</v>
      </c>
      <c r="S43" s="180">
        <f>SUM(S41:S42)</f>
        <v>188.29357499999998</v>
      </c>
    </row>
    <row r="44" spans="1:21" ht="15.75" thickBot="1" x14ac:dyDescent="0.3">
      <c r="A44" s="208" t="s">
        <v>470</v>
      </c>
      <c r="B44" s="28">
        <f>B41-B43</f>
        <v>351</v>
      </c>
      <c r="C44" s="28">
        <f t="shared" ref="C44:M44" si="11">C41-C43</f>
        <v>234</v>
      </c>
      <c r="D44" s="28">
        <f t="shared" si="11"/>
        <v>147</v>
      </c>
      <c r="E44" s="209">
        <f>E41-E43</f>
        <v>-4</v>
      </c>
      <c r="F44" s="209">
        <f t="shared" si="11"/>
        <v>-90</v>
      </c>
      <c r="G44" s="209">
        <f t="shared" si="11"/>
        <v>-115</v>
      </c>
      <c r="H44" s="209">
        <f t="shared" si="11"/>
        <v>-135</v>
      </c>
      <c r="I44" s="209">
        <f t="shared" si="11"/>
        <v>-69</v>
      </c>
      <c r="J44" s="28">
        <f t="shared" si="11"/>
        <v>50</v>
      </c>
      <c r="K44" s="28">
        <f t="shared" si="11"/>
        <v>210</v>
      </c>
      <c r="L44" s="28">
        <f t="shared" si="11"/>
        <v>370</v>
      </c>
      <c r="M44" s="28">
        <f t="shared" si="11"/>
        <v>455</v>
      </c>
      <c r="N44" s="28"/>
      <c r="O44" s="28"/>
      <c r="P44" s="28"/>
      <c r="Q44" s="28"/>
      <c r="R44" s="99" t="s">
        <v>471</v>
      </c>
      <c r="S44" s="210">
        <f>S43*12</f>
        <v>2259.5228999999999</v>
      </c>
    </row>
    <row r="45" spans="1:21" x14ac:dyDescent="0.25">
      <c r="A45" s="208" t="s">
        <v>472</v>
      </c>
      <c r="B45" s="28">
        <f>B44*$C2</f>
        <v>100.11221999999999</v>
      </c>
      <c r="C45" s="28">
        <f t="shared" ref="C45:M45" si="12">C44*$C2</f>
        <v>66.741479999999996</v>
      </c>
      <c r="D45" s="28">
        <f t="shared" si="12"/>
        <v>41.927339999999994</v>
      </c>
      <c r="E45" s="211">
        <f>E44*-0.1</f>
        <v>0.4</v>
      </c>
      <c r="F45" s="211">
        <f>F44*-0.1</f>
        <v>9</v>
      </c>
      <c r="G45" s="211">
        <f t="shared" ref="G45:I45" si="13">G44*-0.1</f>
        <v>11.5</v>
      </c>
      <c r="H45" s="211">
        <f t="shared" si="13"/>
        <v>13.5</v>
      </c>
      <c r="I45" s="211">
        <f t="shared" si="13"/>
        <v>6.9</v>
      </c>
      <c r="J45" s="28">
        <f t="shared" si="12"/>
        <v>14.260999999999999</v>
      </c>
      <c r="K45" s="28">
        <f t="shared" si="12"/>
        <v>59.896199999999993</v>
      </c>
      <c r="L45" s="28">
        <f t="shared" si="12"/>
        <v>105.53139999999999</v>
      </c>
      <c r="M45" s="28">
        <f t="shared" si="12"/>
        <v>129.77509999999998</v>
      </c>
    </row>
    <row r="46" spans="1:21" x14ac:dyDescent="0.25">
      <c r="A46" s="134" t="s">
        <v>473</v>
      </c>
      <c r="B46" s="160">
        <f>B45+C45+D45-E45-F45-G45-H45-I45+J45+K45+L45+M45</f>
        <v>476.94473999999991</v>
      </c>
    </row>
    <row r="47" spans="1:21" x14ac:dyDescent="0.25">
      <c r="A47" s="134" t="s">
        <v>474</v>
      </c>
      <c r="B47" s="199">
        <f>B46/12</f>
        <v>39.745394999999995</v>
      </c>
    </row>
    <row r="52" spans="1:1" x14ac:dyDescent="0.25">
      <c r="A52" s="134" t="s">
        <v>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6EDB-4573-4F4A-85AF-E0A90D446F2C}">
  <dimension ref="A1:R158"/>
  <sheetViews>
    <sheetView topLeftCell="A85" zoomScaleNormal="100" workbookViewId="0">
      <selection activeCell="G11" sqref="G11"/>
    </sheetView>
  </sheetViews>
  <sheetFormatPr defaultRowHeight="15" x14ac:dyDescent="0.25"/>
  <cols>
    <col min="3" max="3" width="16.5703125" bestFit="1" customWidth="1"/>
    <col min="4" max="4" width="17.140625" bestFit="1" customWidth="1"/>
    <col min="6" max="6" width="37" bestFit="1" customWidth="1"/>
    <col min="7" max="7" width="7.7109375" bestFit="1" customWidth="1"/>
    <col min="8" max="8" width="20.85546875" style="86" bestFit="1" customWidth="1"/>
    <col min="9" max="9" width="9.28515625" bestFit="1" customWidth="1"/>
    <col min="10" max="11" width="15.140625" bestFit="1" customWidth="1"/>
    <col min="12" max="12" width="26.42578125" bestFit="1" customWidth="1"/>
    <col min="13" max="13" width="10.28515625" bestFit="1" customWidth="1"/>
    <col min="14" max="14" width="9.28515625" bestFit="1" customWidth="1"/>
    <col min="16" max="16" width="6" bestFit="1" customWidth="1"/>
    <col min="17" max="17" width="13.28515625" bestFit="1" customWidth="1"/>
    <col min="18" max="18" width="24" bestFit="1" customWidth="1"/>
    <col min="20" max="20" width="23.5703125" bestFit="1" customWidth="1"/>
  </cols>
  <sheetData>
    <row r="1" spans="1:12" ht="15.75" thickBot="1" x14ac:dyDescent="0.3"/>
    <row r="2" spans="1:12" ht="15.75" thickBot="1" x14ac:dyDescent="0.3">
      <c r="A2" s="98" t="s">
        <v>331</v>
      </c>
      <c r="B2" s="96" t="s">
        <v>330</v>
      </c>
      <c r="C2" s="96" t="s">
        <v>329</v>
      </c>
      <c r="D2" s="95" t="s">
        <v>328</v>
      </c>
      <c r="F2" s="98" t="s">
        <v>325</v>
      </c>
      <c r="G2" s="104" t="s">
        <v>63</v>
      </c>
      <c r="H2" s="108" t="s">
        <v>327</v>
      </c>
      <c r="I2" s="104" t="s">
        <v>379</v>
      </c>
      <c r="J2" s="104" t="s">
        <v>372</v>
      </c>
      <c r="K2" s="104" t="s">
        <v>373</v>
      </c>
      <c r="L2" s="104" t="s">
        <v>374</v>
      </c>
    </row>
    <row r="3" spans="1:12" ht="15.75" thickBot="1" x14ac:dyDescent="0.3">
      <c r="A3" s="94">
        <v>43101</v>
      </c>
      <c r="B3" s="93">
        <v>1200</v>
      </c>
      <c r="C3" s="93"/>
      <c r="D3" s="92" t="s">
        <v>326</v>
      </c>
      <c r="F3" s="103">
        <v>2018</v>
      </c>
      <c r="G3" s="103">
        <f>SUM(B3:B14)</f>
        <v>19200</v>
      </c>
      <c r="H3" s="107">
        <f>G3/12</f>
        <v>1600</v>
      </c>
      <c r="I3" s="147">
        <v>100</v>
      </c>
      <c r="J3" s="141">
        <f>$G78</f>
        <v>3922.46</v>
      </c>
      <c r="K3" s="103">
        <v>0</v>
      </c>
      <c r="L3" s="107">
        <f t="shared" ref="L3:L15" si="0">H3+K3</f>
        <v>1600</v>
      </c>
    </row>
    <row r="4" spans="1:12" ht="15.75" thickBot="1" x14ac:dyDescent="0.3">
      <c r="A4" s="91">
        <v>43132</v>
      </c>
      <c r="B4">
        <v>1200</v>
      </c>
      <c r="D4" s="90" t="s">
        <v>326</v>
      </c>
      <c r="F4" s="102">
        <v>2019</v>
      </c>
      <c r="G4" s="102">
        <f>SUM(B15:B26)</f>
        <v>22300</v>
      </c>
      <c r="H4" s="106">
        <f t="shared" ref="H4:H15" si="1">G4/12</f>
        <v>1858.3333333333333</v>
      </c>
      <c r="I4" s="148">
        <f>(H4/H3*100)-100</f>
        <v>16.145833333333329</v>
      </c>
      <c r="J4" s="141">
        <f>G78</f>
        <v>3922.46</v>
      </c>
      <c r="K4" s="102">
        <v>0</v>
      </c>
      <c r="L4" s="106">
        <f t="shared" si="0"/>
        <v>1858.3333333333333</v>
      </c>
    </row>
    <row r="5" spans="1:12" ht="15.75" thickBot="1" x14ac:dyDescent="0.3">
      <c r="A5" s="91">
        <v>43160</v>
      </c>
      <c r="B5">
        <v>1200</v>
      </c>
      <c r="D5" s="90" t="s">
        <v>326</v>
      </c>
      <c r="F5" s="102">
        <v>2020</v>
      </c>
      <c r="G5" s="102">
        <f>SUM(B27:B38)</f>
        <v>25600</v>
      </c>
      <c r="H5" s="106">
        <f t="shared" si="1"/>
        <v>2133.3333333333335</v>
      </c>
      <c r="I5" s="148">
        <f>(H5/H4*100)-100</f>
        <v>14.798206278026925</v>
      </c>
      <c r="J5" s="141">
        <f>G78</f>
        <v>3922.46</v>
      </c>
      <c r="K5" s="102">
        <v>0</v>
      </c>
      <c r="L5" s="106">
        <f t="shared" si="0"/>
        <v>2133.3333333333335</v>
      </c>
    </row>
    <row r="6" spans="1:12" ht="15.75" thickBot="1" x14ac:dyDescent="0.3">
      <c r="A6" s="91">
        <v>43191</v>
      </c>
      <c r="B6">
        <v>1200</v>
      </c>
      <c r="D6" s="90" t="s">
        <v>326</v>
      </c>
      <c r="F6" s="102">
        <v>2021</v>
      </c>
      <c r="G6" s="102">
        <f>SUM(B39:B50)</f>
        <v>30471</v>
      </c>
      <c r="H6" s="106">
        <f t="shared" si="1"/>
        <v>2539.25</v>
      </c>
      <c r="I6" s="148">
        <f t="shared" ref="I6:I15" si="2">(H6/H5*100)-100</f>
        <v>19.027343749999986</v>
      </c>
      <c r="J6" s="141">
        <f>G78</f>
        <v>3922.46</v>
      </c>
      <c r="K6" s="102">
        <v>0</v>
      </c>
      <c r="L6" s="106">
        <f t="shared" si="0"/>
        <v>2539.25</v>
      </c>
    </row>
    <row r="7" spans="1:12" ht="15.75" thickBot="1" x14ac:dyDescent="0.3">
      <c r="A7" s="91">
        <v>43221</v>
      </c>
      <c r="B7">
        <v>1800</v>
      </c>
      <c r="D7" s="90" t="s">
        <v>317</v>
      </c>
      <c r="F7" s="102">
        <v>2022</v>
      </c>
      <c r="G7" s="102">
        <f>SUM(B51:B62)</f>
        <v>34615</v>
      </c>
      <c r="H7" s="106">
        <f t="shared" si="1"/>
        <v>2884.5833333333335</v>
      </c>
      <c r="I7" s="148">
        <f t="shared" si="2"/>
        <v>13.599816218699743</v>
      </c>
      <c r="J7" s="141">
        <f>G78</f>
        <v>3922.46</v>
      </c>
      <c r="K7" s="102">
        <v>0</v>
      </c>
      <c r="L7" s="106">
        <f t="shared" si="0"/>
        <v>2884.5833333333335</v>
      </c>
    </row>
    <row r="8" spans="1:12" ht="15.75" thickBot="1" x14ac:dyDescent="0.3">
      <c r="A8" s="91">
        <v>43252</v>
      </c>
      <c r="B8">
        <v>1800</v>
      </c>
      <c r="D8" s="90" t="s">
        <v>317</v>
      </c>
      <c r="F8" s="102">
        <v>2023</v>
      </c>
      <c r="G8" s="102">
        <f>SUM(B63:B74)</f>
        <v>41982</v>
      </c>
      <c r="H8" s="106">
        <f t="shared" si="1"/>
        <v>3498.5</v>
      </c>
      <c r="I8" s="148">
        <f t="shared" si="2"/>
        <v>21.28268091867686</v>
      </c>
      <c r="J8" s="141">
        <f>G78</f>
        <v>3922.46</v>
      </c>
      <c r="K8" s="102">
        <v>0</v>
      </c>
      <c r="L8" s="106">
        <f t="shared" si="0"/>
        <v>3498.5</v>
      </c>
    </row>
    <row r="9" spans="1:12" ht="15.75" thickBot="1" x14ac:dyDescent="0.3">
      <c r="A9" s="91">
        <v>43282</v>
      </c>
      <c r="B9">
        <v>1800</v>
      </c>
      <c r="D9" s="90" t="s">
        <v>317</v>
      </c>
      <c r="F9" s="102">
        <v>2024</v>
      </c>
      <c r="G9" s="102">
        <f>SUM(B75:B86)</f>
        <v>45123</v>
      </c>
      <c r="H9" s="106">
        <f t="shared" si="1"/>
        <v>3760.25</v>
      </c>
      <c r="I9" s="148">
        <f t="shared" si="2"/>
        <v>7.4817779048163402</v>
      </c>
      <c r="J9" s="141">
        <f>G78</f>
        <v>3922.46</v>
      </c>
      <c r="K9" s="102">
        <v>0</v>
      </c>
      <c r="L9" s="106">
        <f t="shared" si="0"/>
        <v>3760.25</v>
      </c>
    </row>
    <row r="10" spans="1:12" ht="15.75" thickBot="1" x14ac:dyDescent="0.3">
      <c r="A10" s="91">
        <v>43313</v>
      </c>
      <c r="B10">
        <v>1800</v>
      </c>
      <c r="D10" s="90" t="s">
        <v>317</v>
      </c>
      <c r="F10" s="102">
        <v>2025</v>
      </c>
      <c r="G10" s="102">
        <f>SUM(B87:B98)</f>
        <v>47024</v>
      </c>
      <c r="H10" s="106">
        <f>G10/12</f>
        <v>3918.6666666666665</v>
      </c>
      <c r="I10" s="148">
        <f t="shared" si="2"/>
        <v>4.2129291048910602</v>
      </c>
      <c r="J10" s="141">
        <f>G78</f>
        <v>3922.46</v>
      </c>
      <c r="K10" s="102">
        <v>250</v>
      </c>
      <c r="L10" s="106">
        <f t="shared" si="0"/>
        <v>4168.6666666666661</v>
      </c>
    </row>
    <row r="11" spans="1:12" ht="15.75" thickBot="1" x14ac:dyDescent="0.3">
      <c r="A11" s="91">
        <v>43344</v>
      </c>
      <c r="B11">
        <v>1800</v>
      </c>
      <c r="D11" s="90" t="s">
        <v>317</v>
      </c>
      <c r="F11" s="102">
        <v>2026</v>
      </c>
      <c r="G11" s="102">
        <f>SUM(B99:B110)</f>
        <v>48830</v>
      </c>
      <c r="H11" s="106">
        <f t="shared" si="1"/>
        <v>4069.1666666666665</v>
      </c>
      <c r="I11" s="148">
        <f t="shared" si="2"/>
        <v>3.8405920381081984</v>
      </c>
      <c r="J11" s="141">
        <f>G78</f>
        <v>3922.46</v>
      </c>
      <c r="K11" s="102">
        <v>250</v>
      </c>
      <c r="L11" s="106">
        <f t="shared" si="0"/>
        <v>4319.1666666666661</v>
      </c>
    </row>
    <row r="12" spans="1:12" ht="15.75" thickBot="1" x14ac:dyDescent="0.3">
      <c r="A12" s="91">
        <v>43374</v>
      </c>
      <c r="B12">
        <v>1800</v>
      </c>
      <c r="D12" s="90" t="s">
        <v>317</v>
      </c>
      <c r="F12" s="102">
        <v>2027</v>
      </c>
      <c r="G12" s="106">
        <f>SUM(B111:B122)</f>
        <v>50310</v>
      </c>
      <c r="H12" s="106">
        <f t="shared" si="1"/>
        <v>4192.5</v>
      </c>
      <c r="I12" s="148">
        <f t="shared" si="2"/>
        <v>3.0309236125332717</v>
      </c>
      <c r="J12" s="141">
        <f>G78</f>
        <v>3922.46</v>
      </c>
      <c r="K12" s="102">
        <v>250</v>
      </c>
      <c r="L12" s="106">
        <f t="shared" si="0"/>
        <v>4442.5</v>
      </c>
    </row>
    <row r="13" spans="1:12" ht="15.75" thickBot="1" x14ac:dyDescent="0.3">
      <c r="A13" s="91">
        <v>43405</v>
      </c>
      <c r="B13">
        <v>1800</v>
      </c>
      <c r="D13" s="90" t="s">
        <v>317</v>
      </c>
      <c r="F13" s="102">
        <v>2028</v>
      </c>
      <c r="G13" s="106">
        <f>SUM(B123:B134)</f>
        <v>51820</v>
      </c>
      <c r="H13" s="106">
        <f t="shared" si="1"/>
        <v>4318.333333333333</v>
      </c>
      <c r="I13" s="148">
        <f t="shared" si="2"/>
        <v>3.0013913734843811</v>
      </c>
      <c r="J13" s="141">
        <f>G78</f>
        <v>3922.46</v>
      </c>
      <c r="K13" s="102">
        <v>250</v>
      </c>
      <c r="L13" s="106">
        <f t="shared" si="0"/>
        <v>4568.333333333333</v>
      </c>
    </row>
    <row r="14" spans="1:12" ht="15.75" thickBot="1" x14ac:dyDescent="0.3">
      <c r="A14" s="89">
        <v>43435</v>
      </c>
      <c r="B14" s="88">
        <v>1800</v>
      </c>
      <c r="C14" s="88"/>
      <c r="D14" s="87" t="s">
        <v>317</v>
      </c>
      <c r="F14" s="102">
        <v>2029</v>
      </c>
      <c r="G14" s="106">
        <f>SUM(B135:B146)</f>
        <v>52974</v>
      </c>
      <c r="H14" s="106">
        <f t="shared" si="1"/>
        <v>4414.5</v>
      </c>
      <c r="I14" s="148">
        <f t="shared" si="2"/>
        <v>2.2269394056348943</v>
      </c>
      <c r="J14" s="141">
        <f>G78</f>
        <v>3922.46</v>
      </c>
      <c r="K14" s="102">
        <v>250</v>
      </c>
      <c r="L14" s="106">
        <f t="shared" si="0"/>
        <v>4664.5</v>
      </c>
    </row>
    <row r="15" spans="1:12" ht="15.75" thickBot="1" x14ac:dyDescent="0.3">
      <c r="A15" s="94">
        <v>43466</v>
      </c>
      <c r="B15" s="93">
        <v>1800</v>
      </c>
      <c r="C15" s="93"/>
      <c r="D15" s="92" t="s">
        <v>317</v>
      </c>
      <c r="F15" s="102">
        <v>2030</v>
      </c>
      <c r="G15" s="106">
        <f>SUM(B147:B158)</f>
        <v>53783</v>
      </c>
      <c r="H15" s="106">
        <f t="shared" si="1"/>
        <v>4481.916666666667</v>
      </c>
      <c r="I15" s="148">
        <f t="shared" si="2"/>
        <v>1.5271642692641763</v>
      </c>
      <c r="J15" s="141">
        <f>G78</f>
        <v>3922.46</v>
      </c>
      <c r="K15" s="101">
        <v>250</v>
      </c>
      <c r="L15" s="105">
        <f t="shared" si="0"/>
        <v>4731.916666666667</v>
      </c>
    </row>
    <row r="16" spans="1:12" x14ac:dyDescent="0.25">
      <c r="A16" s="91">
        <v>43497</v>
      </c>
      <c r="B16">
        <v>1800</v>
      </c>
      <c r="D16" s="90" t="s">
        <v>317</v>
      </c>
      <c r="F16" s="102"/>
      <c r="G16" s="102"/>
      <c r="H16" s="106"/>
      <c r="I16" s="102"/>
    </row>
    <row r="17" spans="1:18" x14ac:dyDescent="0.25">
      <c r="A17" s="91">
        <v>43525</v>
      </c>
      <c r="B17">
        <v>1800</v>
      </c>
      <c r="D17" s="90" t="s">
        <v>317</v>
      </c>
      <c r="F17" s="102"/>
      <c r="G17" s="102"/>
      <c r="H17" s="106"/>
      <c r="I17" s="102"/>
    </row>
    <row r="18" spans="1:18" x14ac:dyDescent="0.25">
      <c r="A18" s="91">
        <v>43556</v>
      </c>
      <c r="B18">
        <v>1800</v>
      </c>
      <c r="D18" s="90" t="s">
        <v>317</v>
      </c>
      <c r="F18" s="102"/>
      <c r="G18" s="102"/>
      <c r="H18" s="106"/>
      <c r="I18" s="102"/>
    </row>
    <row r="19" spans="1:18" x14ac:dyDescent="0.25">
      <c r="A19" s="91">
        <v>43586</v>
      </c>
      <c r="B19">
        <v>2500</v>
      </c>
      <c r="C19" t="s">
        <v>64</v>
      </c>
      <c r="D19" s="90" t="s">
        <v>317</v>
      </c>
      <c r="F19" s="102"/>
      <c r="G19" s="102"/>
      <c r="H19" s="106"/>
      <c r="I19" s="102"/>
      <c r="K19" t="s">
        <v>398</v>
      </c>
      <c r="L19">
        <v>3847</v>
      </c>
    </row>
    <row r="20" spans="1:18" x14ac:dyDescent="0.25">
      <c r="A20" s="91">
        <v>43617</v>
      </c>
      <c r="B20">
        <v>1800</v>
      </c>
      <c r="D20" s="90" t="s">
        <v>317</v>
      </c>
      <c r="F20" s="102"/>
      <c r="G20" s="102"/>
      <c r="H20" s="106"/>
      <c r="I20" s="102"/>
      <c r="L20">
        <v>5913</v>
      </c>
    </row>
    <row r="21" spans="1:18" x14ac:dyDescent="0.25">
      <c r="A21" s="91">
        <v>43647</v>
      </c>
      <c r="B21">
        <v>1800</v>
      </c>
      <c r="D21" s="90" t="s">
        <v>317</v>
      </c>
      <c r="F21" s="102"/>
      <c r="G21" s="102"/>
      <c r="H21" s="106"/>
      <c r="I21" s="102"/>
      <c r="K21" t="s">
        <v>399</v>
      </c>
      <c r="L21" t="s">
        <v>400</v>
      </c>
    </row>
    <row r="22" spans="1:18" x14ac:dyDescent="0.25">
      <c r="A22" s="91">
        <v>43678</v>
      </c>
      <c r="B22">
        <v>1800</v>
      </c>
      <c r="D22" s="90" t="s">
        <v>317</v>
      </c>
      <c r="F22" s="102"/>
      <c r="G22" s="102"/>
      <c r="H22" s="106"/>
      <c r="I22" s="102"/>
    </row>
    <row r="23" spans="1:18" x14ac:dyDescent="0.25">
      <c r="A23" s="91">
        <v>43709</v>
      </c>
      <c r="B23">
        <v>1800</v>
      </c>
      <c r="D23" s="90" t="s">
        <v>317</v>
      </c>
      <c r="F23" s="102"/>
      <c r="G23" s="102"/>
      <c r="H23" s="106"/>
      <c r="I23" s="102"/>
    </row>
    <row r="24" spans="1:18" x14ac:dyDescent="0.25">
      <c r="A24" s="91">
        <v>43739</v>
      </c>
      <c r="B24">
        <v>1800</v>
      </c>
      <c r="D24" s="90" t="s">
        <v>317</v>
      </c>
      <c r="F24" s="102"/>
      <c r="G24" s="102"/>
      <c r="H24" s="106"/>
      <c r="I24" s="102"/>
    </row>
    <row r="25" spans="1:18" ht="15.75" thickBot="1" x14ac:dyDescent="0.3">
      <c r="A25" s="91">
        <v>43770</v>
      </c>
      <c r="B25">
        <v>1800</v>
      </c>
      <c r="D25" s="90" t="s">
        <v>317</v>
      </c>
      <c r="F25" s="101"/>
      <c r="G25" s="101"/>
      <c r="H25" s="105"/>
      <c r="I25" s="101"/>
    </row>
    <row r="26" spans="1:18" ht="15.75" thickBot="1" x14ac:dyDescent="0.3">
      <c r="A26" s="89">
        <v>43800</v>
      </c>
      <c r="B26" s="88">
        <v>1800</v>
      </c>
      <c r="C26" s="88"/>
      <c r="D26" s="87" t="s">
        <v>317</v>
      </c>
    </row>
    <row r="27" spans="1:18" ht="15.75" thickBot="1" x14ac:dyDescent="0.3">
      <c r="A27" s="94">
        <v>43831</v>
      </c>
      <c r="B27" s="93">
        <v>2000</v>
      </c>
      <c r="C27" s="93"/>
      <c r="D27" s="92" t="s">
        <v>317</v>
      </c>
    </row>
    <row r="28" spans="1:18" ht="15.75" thickBot="1" x14ac:dyDescent="0.3">
      <c r="A28" s="91">
        <v>43862</v>
      </c>
      <c r="B28">
        <v>2000</v>
      </c>
      <c r="D28" s="90" t="s">
        <v>317</v>
      </c>
      <c r="F28" s="104" t="s">
        <v>325</v>
      </c>
      <c r="G28" s="104"/>
      <c r="H28" s="95" t="s">
        <v>324</v>
      </c>
      <c r="I28" s="104" t="s">
        <v>321</v>
      </c>
      <c r="J28" s="104" t="s">
        <v>63</v>
      </c>
      <c r="K28" s="104">
        <v>51000</v>
      </c>
      <c r="L28" s="95" t="s">
        <v>323</v>
      </c>
      <c r="M28" s="104" t="s">
        <v>322</v>
      </c>
      <c r="N28" s="104" t="s">
        <v>321</v>
      </c>
      <c r="O28" s="95" t="s">
        <v>63</v>
      </c>
      <c r="P28" s="104">
        <v>13500</v>
      </c>
      <c r="Q28" s="104" t="s">
        <v>320</v>
      </c>
      <c r="R28" s="104" t="s">
        <v>319</v>
      </c>
    </row>
    <row r="29" spans="1:18" ht="15.75" thickBot="1" x14ac:dyDescent="0.3">
      <c r="A29" s="91">
        <v>43891</v>
      </c>
      <c r="B29">
        <v>2000</v>
      </c>
      <c r="D29" s="90" t="s">
        <v>317</v>
      </c>
      <c r="F29" s="103">
        <v>1</v>
      </c>
      <c r="G29" s="102">
        <v>2026</v>
      </c>
      <c r="H29" s="103">
        <v>700</v>
      </c>
      <c r="I29" s="103">
        <v>12</v>
      </c>
      <c r="J29" s="103">
        <f t="shared" ref="J29:J36" si="3">H29*I29</f>
        <v>8400</v>
      </c>
      <c r="K29" s="102">
        <f t="shared" ref="K29:K36" si="4">K28-J29</f>
        <v>42600</v>
      </c>
      <c r="L29" s="103">
        <v>50</v>
      </c>
      <c r="M29" s="103">
        <v>224</v>
      </c>
      <c r="N29" s="102">
        <v>12</v>
      </c>
      <c r="O29" s="103">
        <f t="shared" ref="O29:O48" si="5">M29*N29</f>
        <v>2688</v>
      </c>
      <c r="P29" s="103">
        <f t="shared" ref="P29:P48" si="6">P28-O29</f>
        <v>10812</v>
      </c>
      <c r="Q29" s="103">
        <f t="shared" ref="Q29:Q48" si="7">L29*N29</f>
        <v>600</v>
      </c>
      <c r="R29" s="103">
        <f t="shared" ref="R29:R48" si="8">H29+L29+M29</f>
        <v>974</v>
      </c>
    </row>
    <row r="30" spans="1:18" ht="15.75" thickBot="1" x14ac:dyDescent="0.3">
      <c r="A30" s="91">
        <v>43922</v>
      </c>
      <c r="B30">
        <v>2000</v>
      </c>
      <c r="D30" s="90" t="s">
        <v>317</v>
      </c>
      <c r="F30" s="102">
        <v>2</v>
      </c>
      <c r="G30" s="102">
        <v>2027</v>
      </c>
      <c r="H30" s="103">
        <v>1000</v>
      </c>
      <c r="I30" s="102">
        <v>12</v>
      </c>
      <c r="J30" s="102">
        <f t="shared" si="3"/>
        <v>12000</v>
      </c>
      <c r="K30" s="102">
        <f t="shared" si="4"/>
        <v>30600</v>
      </c>
      <c r="L30" s="102">
        <v>50</v>
      </c>
      <c r="M30" s="102">
        <v>224</v>
      </c>
      <c r="N30" s="102">
        <v>12</v>
      </c>
      <c r="O30" s="102">
        <f t="shared" si="5"/>
        <v>2688</v>
      </c>
      <c r="P30" s="102">
        <f t="shared" si="6"/>
        <v>8124</v>
      </c>
      <c r="Q30" s="102">
        <f t="shared" si="7"/>
        <v>600</v>
      </c>
      <c r="R30" s="102">
        <f t="shared" si="8"/>
        <v>1274</v>
      </c>
    </row>
    <row r="31" spans="1:18" ht="15.75" thickBot="1" x14ac:dyDescent="0.3">
      <c r="A31" s="91">
        <v>43952</v>
      </c>
      <c r="B31">
        <v>3000</v>
      </c>
      <c r="C31" t="s">
        <v>318</v>
      </c>
      <c r="D31" s="90" t="s">
        <v>317</v>
      </c>
      <c r="F31" s="102">
        <v>3</v>
      </c>
      <c r="G31" s="102">
        <v>2028</v>
      </c>
      <c r="H31" s="103">
        <v>1000</v>
      </c>
      <c r="I31" s="102">
        <v>12</v>
      </c>
      <c r="J31" s="102">
        <f t="shared" si="3"/>
        <v>12000</v>
      </c>
      <c r="K31" s="102">
        <f t="shared" si="4"/>
        <v>18600</v>
      </c>
      <c r="L31" s="102">
        <v>50</v>
      </c>
      <c r="M31" s="102">
        <v>224</v>
      </c>
      <c r="N31" s="102">
        <v>12</v>
      </c>
      <c r="O31" s="102">
        <f t="shared" si="5"/>
        <v>2688</v>
      </c>
      <c r="P31" s="102">
        <f t="shared" si="6"/>
        <v>5436</v>
      </c>
      <c r="Q31" s="102">
        <f t="shared" si="7"/>
        <v>600</v>
      </c>
      <c r="R31" s="102">
        <f t="shared" si="8"/>
        <v>1274</v>
      </c>
    </row>
    <row r="32" spans="1:18" ht="15.75" thickBot="1" x14ac:dyDescent="0.3">
      <c r="A32" s="91">
        <v>43983</v>
      </c>
      <c r="B32">
        <v>2000</v>
      </c>
      <c r="D32" s="90" t="s">
        <v>317</v>
      </c>
      <c r="F32" s="102">
        <v>4</v>
      </c>
      <c r="G32" s="102">
        <v>2029</v>
      </c>
      <c r="H32" s="103">
        <v>1000</v>
      </c>
      <c r="I32" s="102">
        <v>12</v>
      </c>
      <c r="J32" s="102">
        <f t="shared" si="3"/>
        <v>12000</v>
      </c>
      <c r="K32" s="102">
        <f t="shared" si="4"/>
        <v>6600</v>
      </c>
      <c r="L32" s="102">
        <v>50</v>
      </c>
      <c r="M32" s="102">
        <v>224</v>
      </c>
      <c r="N32" s="102">
        <v>12</v>
      </c>
      <c r="O32" s="102">
        <f t="shared" si="5"/>
        <v>2688</v>
      </c>
      <c r="P32" s="102">
        <f t="shared" si="6"/>
        <v>2748</v>
      </c>
      <c r="Q32" s="102">
        <f t="shared" si="7"/>
        <v>600</v>
      </c>
      <c r="R32" s="102">
        <f t="shared" si="8"/>
        <v>1274</v>
      </c>
    </row>
    <row r="33" spans="1:18" ht="15.75" thickBot="1" x14ac:dyDescent="0.3">
      <c r="A33" s="91">
        <v>44013</v>
      </c>
      <c r="B33">
        <v>2000</v>
      </c>
      <c r="D33" s="90" t="s">
        <v>317</v>
      </c>
      <c r="F33" s="102">
        <v>5</v>
      </c>
      <c r="G33" s="102">
        <v>2030</v>
      </c>
      <c r="H33" s="103">
        <v>550</v>
      </c>
      <c r="I33" s="102">
        <v>12</v>
      </c>
      <c r="J33" s="102">
        <f t="shared" si="3"/>
        <v>6600</v>
      </c>
      <c r="K33" s="102">
        <f t="shared" si="4"/>
        <v>0</v>
      </c>
      <c r="L33" s="102">
        <v>750</v>
      </c>
      <c r="M33" s="102">
        <v>229</v>
      </c>
      <c r="N33" s="102">
        <v>12</v>
      </c>
      <c r="O33" s="102">
        <f t="shared" si="5"/>
        <v>2748</v>
      </c>
      <c r="P33" s="102">
        <f t="shared" si="6"/>
        <v>0</v>
      </c>
      <c r="Q33" s="102">
        <f t="shared" si="7"/>
        <v>9000</v>
      </c>
      <c r="R33" s="102">
        <f t="shared" si="8"/>
        <v>1529</v>
      </c>
    </row>
    <row r="34" spans="1:18" ht="15.75" thickBot="1" x14ac:dyDescent="0.3">
      <c r="A34" s="91">
        <v>44044</v>
      </c>
      <c r="B34">
        <v>2000</v>
      </c>
      <c r="D34" s="90" t="s">
        <v>317</v>
      </c>
      <c r="F34" s="102">
        <v>6</v>
      </c>
      <c r="G34" s="102">
        <v>2031</v>
      </c>
      <c r="H34" s="103">
        <v>0</v>
      </c>
      <c r="I34" s="102">
        <v>0</v>
      </c>
      <c r="J34" s="102">
        <f t="shared" si="3"/>
        <v>0</v>
      </c>
      <c r="K34" s="102">
        <f t="shared" si="4"/>
        <v>0</v>
      </c>
      <c r="L34" s="102">
        <v>750</v>
      </c>
      <c r="M34" s="102">
        <v>0</v>
      </c>
      <c r="N34" s="102">
        <v>12</v>
      </c>
      <c r="O34" s="102">
        <f t="shared" si="5"/>
        <v>0</v>
      </c>
      <c r="P34" s="102">
        <f t="shared" si="6"/>
        <v>0</v>
      </c>
      <c r="Q34" s="102">
        <f t="shared" si="7"/>
        <v>9000</v>
      </c>
      <c r="R34" s="102">
        <f t="shared" si="8"/>
        <v>750</v>
      </c>
    </row>
    <row r="35" spans="1:18" ht="15.75" thickBot="1" x14ac:dyDescent="0.3">
      <c r="A35" s="91">
        <v>44075</v>
      </c>
      <c r="B35">
        <v>2000</v>
      </c>
      <c r="D35" s="90" t="s">
        <v>317</v>
      </c>
      <c r="F35" s="102">
        <v>7</v>
      </c>
      <c r="G35" s="102">
        <v>2032</v>
      </c>
      <c r="H35" s="103">
        <v>0</v>
      </c>
      <c r="I35" s="102">
        <v>0</v>
      </c>
      <c r="J35" s="102">
        <f t="shared" si="3"/>
        <v>0</v>
      </c>
      <c r="K35" s="102">
        <f t="shared" si="4"/>
        <v>0</v>
      </c>
      <c r="L35" s="102">
        <v>750</v>
      </c>
      <c r="M35" s="102">
        <v>0</v>
      </c>
      <c r="N35" s="102">
        <v>12</v>
      </c>
      <c r="O35" s="102">
        <f t="shared" si="5"/>
        <v>0</v>
      </c>
      <c r="P35" s="102">
        <f t="shared" si="6"/>
        <v>0</v>
      </c>
      <c r="Q35" s="102">
        <f t="shared" si="7"/>
        <v>9000</v>
      </c>
      <c r="R35" s="102">
        <f t="shared" si="8"/>
        <v>750</v>
      </c>
    </row>
    <row r="36" spans="1:18" x14ac:dyDescent="0.25">
      <c r="A36" s="91">
        <v>44105</v>
      </c>
      <c r="B36">
        <v>2200</v>
      </c>
      <c r="D36" s="90" t="s">
        <v>315</v>
      </c>
      <c r="F36" s="102">
        <v>8</v>
      </c>
      <c r="G36" s="102">
        <v>2033</v>
      </c>
      <c r="H36" s="103">
        <v>0</v>
      </c>
      <c r="I36" s="102">
        <v>0</v>
      </c>
      <c r="J36" s="102">
        <f t="shared" si="3"/>
        <v>0</v>
      </c>
      <c r="K36" s="102">
        <f t="shared" si="4"/>
        <v>0</v>
      </c>
      <c r="L36" s="102">
        <v>750</v>
      </c>
      <c r="M36" s="102">
        <v>0</v>
      </c>
      <c r="N36" s="102">
        <v>12</v>
      </c>
      <c r="O36" s="102">
        <f t="shared" si="5"/>
        <v>0</v>
      </c>
      <c r="P36" s="102">
        <f t="shared" si="6"/>
        <v>0</v>
      </c>
      <c r="Q36" s="102">
        <f t="shared" si="7"/>
        <v>9000</v>
      </c>
      <c r="R36" s="102">
        <f t="shared" si="8"/>
        <v>750</v>
      </c>
    </row>
    <row r="37" spans="1:18" x14ac:dyDescent="0.25">
      <c r="A37" s="91">
        <v>44136</v>
      </c>
      <c r="B37">
        <v>2200</v>
      </c>
      <c r="D37" s="90" t="s">
        <v>315</v>
      </c>
      <c r="F37" s="102">
        <v>9</v>
      </c>
      <c r="G37" s="102">
        <v>2034</v>
      </c>
      <c r="H37" s="102">
        <v>0</v>
      </c>
      <c r="I37" s="102">
        <v>0</v>
      </c>
      <c r="J37" s="102">
        <v>0</v>
      </c>
      <c r="K37" s="102">
        <v>0</v>
      </c>
      <c r="L37" s="102">
        <v>750</v>
      </c>
      <c r="M37" s="102">
        <v>0</v>
      </c>
      <c r="N37" s="102">
        <v>12</v>
      </c>
      <c r="O37" s="102">
        <f t="shared" si="5"/>
        <v>0</v>
      </c>
      <c r="P37" s="102">
        <f t="shared" si="6"/>
        <v>0</v>
      </c>
      <c r="Q37" s="102">
        <f t="shared" si="7"/>
        <v>9000</v>
      </c>
      <c r="R37" s="102">
        <f t="shared" si="8"/>
        <v>750</v>
      </c>
    </row>
    <row r="38" spans="1:18" ht="15.75" thickBot="1" x14ac:dyDescent="0.3">
      <c r="A38" s="89">
        <v>44166</v>
      </c>
      <c r="B38" s="88">
        <v>2200</v>
      </c>
      <c r="C38" s="88"/>
      <c r="D38" s="87" t="s">
        <v>315</v>
      </c>
      <c r="F38" s="102">
        <v>10</v>
      </c>
      <c r="G38" s="102">
        <v>2035</v>
      </c>
      <c r="H38" s="102">
        <v>0</v>
      </c>
      <c r="I38" s="102">
        <v>0</v>
      </c>
      <c r="J38" s="102">
        <v>0</v>
      </c>
      <c r="K38" s="102">
        <v>0</v>
      </c>
      <c r="L38" s="102">
        <v>750</v>
      </c>
      <c r="M38" s="102">
        <v>0</v>
      </c>
      <c r="N38" s="102">
        <v>12</v>
      </c>
      <c r="O38" s="102">
        <f t="shared" si="5"/>
        <v>0</v>
      </c>
      <c r="P38" s="102">
        <f t="shared" si="6"/>
        <v>0</v>
      </c>
      <c r="Q38" s="102">
        <f t="shared" si="7"/>
        <v>9000</v>
      </c>
      <c r="R38" s="102">
        <f t="shared" si="8"/>
        <v>750</v>
      </c>
    </row>
    <row r="39" spans="1:18" x14ac:dyDescent="0.25">
      <c r="A39" s="94">
        <v>44197</v>
      </c>
      <c r="B39" s="93">
        <v>2302</v>
      </c>
      <c r="C39" s="93"/>
      <c r="D39" s="92" t="s">
        <v>315</v>
      </c>
      <c r="F39" s="102">
        <v>11</v>
      </c>
      <c r="G39" s="102">
        <v>2036</v>
      </c>
      <c r="H39" s="102">
        <v>0</v>
      </c>
      <c r="I39" s="102">
        <v>0</v>
      </c>
      <c r="J39" s="102">
        <v>0</v>
      </c>
      <c r="K39" s="102">
        <v>0</v>
      </c>
      <c r="L39" s="102">
        <v>750</v>
      </c>
      <c r="M39" s="102">
        <v>0</v>
      </c>
      <c r="N39" s="102">
        <v>12</v>
      </c>
      <c r="O39" s="102">
        <f t="shared" si="5"/>
        <v>0</v>
      </c>
      <c r="P39" s="102">
        <f t="shared" si="6"/>
        <v>0</v>
      </c>
      <c r="Q39" s="102">
        <f t="shared" si="7"/>
        <v>9000</v>
      </c>
      <c r="R39" s="102">
        <f t="shared" si="8"/>
        <v>750</v>
      </c>
    </row>
    <row r="40" spans="1:18" x14ac:dyDescent="0.25">
      <c r="A40" s="91">
        <v>44228</v>
      </c>
      <c r="B40">
        <v>2302</v>
      </c>
      <c r="D40" s="90" t="s">
        <v>315</v>
      </c>
      <c r="F40" s="102">
        <v>12</v>
      </c>
      <c r="G40" s="102">
        <v>2037</v>
      </c>
      <c r="H40" s="102">
        <v>0</v>
      </c>
      <c r="I40" s="102">
        <v>0</v>
      </c>
      <c r="J40" s="102">
        <v>0</v>
      </c>
      <c r="K40" s="102">
        <v>0</v>
      </c>
      <c r="L40" s="102">
        <v>750</v>
      </c>
      <c r="M40" s="102">
        <v>0</v>
      </c>
      <c r="N40" s="102">
        <v>12</v>
      </c>
      <c r="O40" s="102">
        <f t="shared" si="5"/>
        <v>0</v>
      </c>
      <c r="P40" s="102">
        <f t="shared" si="6"/>
        <v>0</v>
      </c>
      <c r="Q40" s="102">
        <f t="shared" si="7"/>
        <v>9000</v>
      </c>
      <c r="R40" s="102">
        <f t="shared" si="8"/>
        <v>750</v>
      </c>
    </row>
    <row r="41" spans="1:18" x14ac:dyDescent="0.25">
      <c r="A41" s="91">
        <v>44256</v>
      </c>
      <c r="B41">
        <v>2302</v>
      </c>
      <c r="D41" s="90" t="s">
        <v>315</v>
      </c>
      <c r="F41" s="102">
        <v>13</v>
      </c>
      <c r="G41" s="102">
        <v>2038</v>
      </c>
      <c r="H41" s="102">
        <v>0</v>
      </c>
      <c r="I41" s="102">
        <v>0</v>
      </c>
      <c r="J41" s="102">
        <v>0</v>
      </c>
      <c r="K41" s="102">
        <v>0</v>
      </c>
      <c r="L41" s="102"/>
      <c r="M41" s="102">
        <v>0</v>
      </c>
      <c r="N41" s="102">
        <v>12</v>
      </c>
      <c r="O41" s="102">
        <f t="shared" si="5"/>
        <v>0</v>
      </c>
      <c r="P41" s="102">
        <f t="shared" si="6"/>
        <v>0</v>
      </c>
      <c r="Q41" s="102">
        <f t="shared" si="7"/>
        <v>0</v>
      </c>
      <c r="R41" s="102">
        <f t="shared" si="8"/>
        <v>0</v>
      </c>
    </row>
    <row r="42" spans="1:18" x14ac:dyDescent="0.25">
      <c r="A42" s="91">
        <v>44287</v>
      </c>
      <c r="B42">
        <v>2302</v>
      </c>
      <c r="D42" s="90" t="s">
        <v>315</v>
      </c>
      <c r="F42" s="102">
        <v>14</v>
      </c>
      <c r="G42" s="102">
        <v>2039</v>
      </c>
      <c r="H42" s="102">
        <v>0</v>
      </c>
      <c r="I42" s="102">
        <v>0</v>
      </c>
      <c r="J42" s="102">
        <v>0</v>
      </c>
      <c r="K42" s="102">
        <v>0</v>
      </c>
      <c r="L42" s="102">
        <v>750</v>
      </c>
      <c r="M42" s="102">
        <v>0</v>
      </c>
      <c r="N42" s="102">
        <v>12</v>
      </c>
      <c r="O42" s="102">
        <f t="shared" si="5"/>
        <v>0</v>
      </c>
      <c r="P42" s="102">
        <f t="shared" si="6"/>
        <v>0</v>
      </c>
      <c r="Q42" s="102">
        <f t="shared" si="7"/>
        <v>9000</v>
      </c>
      <c r="R42" s="102">
        <f t="shared" si="8"/>
        <v>750</v>
      </c>
    </row>
    <row r="43" spans="1:18" x14ac:dyDescent="0.25">
      <c r="A43" s="91">
        <v>44317</v>
      </c>
      <c r="B43">
        <v>2302</v>
      </c>
      <c r="D43" s="90" t="s">
        <v>315</v>
      </c>
      <c r="F43" s="102">
        <v>15</v>
      </c>
      <c r="G43" s="102">
        <v>2040</v>
      </c>
      <c r="H43" s="102">
        <v>0</v>
      </c>
      <c r="I43" s="102">
        <v>0</v>
      </c>
      <c r="J43" s="102">
        <v>0</v>
      </c>
      <c r="K43" s="102">
        <v>0</v>
      </c>
      <c r="L43" s="102">
        <v>750</v>
      </c>
      <c r="M43" s="102">
        <v>0</v>
      </c>
      <c r="N43" s="102">
        <v>12</v>
      </c>
      <c r="O43" s="102">
        <f t="shared" si="5"/>
        <v>0</v>
      </c>
      <c r="P43" s="102">
        <f t="shared" si="6"/>
        <v>0</v>
      </c>
      <c r="Q43" s="102">
        <f t="shared" si="7"/>
        <v>9000</v>
      </c>
      <c r="R43" s="102">
        <f t="shared" si="8"/>
        <v>750</v>
      </c>
    </row>
    <row r="44" spans="1:18" x14ac:dyDescent="0.25">
      <c r="A44" s="91">
        <v>44348</v>
      </c>
      <c r="B44">
        <v>2302</v>
      </c>
      <c r="D44" s="90" t="s">
        <v>315</v>
      </c>
      <c r="F44" s="102">
        <v>16</v>
      </c>
      <c r="G44" s="102">
        <v>2041</v>
      </c>
      <c r="H44" s="102">
        <v>0</v>
      </c>
      <c r="I44" s="102">
        <v>0</v>
      </c>
      <c r="J44" s="102">
        <v>0</v>
      </c>
      <c r="K44" s="102">
        <v>0</v>
      </c>
      <c r="L44" s="102">
        <v>750</v>
      </c>
      <c r="M44" s="102">
        <v>0</v>
      </c>
      <c r="N44" s="102">
        <v>12</v>
      </c>
      <c r="O44" s="102">
        <f t="shared" si="5"/>
        <v>0</v>
      </c>
      <c r="P44" s="102">
        <f t="shared" si="6"/>
        <v>0</v>
      </c>
      <c r="Q44" s="102">
        <f t="shared" si="7"/>
        <v>9000</v>
      </c>
      <c r="R44" s="102">
        <f t="shared" si="8"/>
        <v>750</v>
      </c>
    </row>
    <row r="45" spans="1:18" x14ac:dyDescent="0.25">
      <c r="A45" s="91">
        <v>44378</v>
      </c>
      <c r="B45">
        <v>2302</v>
      </c>
      <c r="D45" s="90" t="s">
        <v>315</v>
      </c>
      <c r="F45" s="102">
        <v>17</v>
      </c>
      <c r="G45" s="102">
        <v>2042</v>
      </c>
      <c r="H45" s="102">
        <v>0</v>
      </c>
      <c r="I45" s="102">
        <v>0</v>
      </c>
      <c r="J45" s="102">
        <v>0</v>
      </c>
      <c r="K45" s="102">
        <v>0</v>
      </c>
      <c r="L45" s="102">
        <v>750</v>
      </c>
      <c r="M45" s="102">
        <v>0</v>
      </c>
      <c r="N45" s="102">
        <v>12</v>
      </c>
      <c r="O45" s="102">
        <f t="shared" si="5"/>
        <v>0</v>
      </c>
      <c r="P45" s="102">
        <f t="shared" si="6"/>
        <v>0</v>
      </c>
      <c r="Q45" s="102">
        <f t="shared" si="7"/>
        <v>9000</v>
      </c>
      <c r="R45" s="102">
        <f t="shared" si="8"/>
        <v>750</v>
      </c>
    </row>
    <row r="46" spans="1:18" x14ac:dyDescent="0.25">
      <c r="A46" s="91">
        <v>44409</v>
      </c>
      <c r="B46">
        <v>2381</v>
      </c>
      <c r="D46" s="90" t="s">
        <v>315</v>
      </c>
      <c r="F46" s="102">
        <v>18</v>
      </c>
      <c r="G46" s="102">
        <v>2043</v>
      </c>
      <c r="H46" s="102">
        <v>0</v>
      </c>
      <c r="I46" s="102">
        <v>0</v>
      </c>
      <c r="J46" s="102">
        <v>0</v>
      </c>
      <c r="K46" s="102">
        <v>0</v>
      </c>
      <c r="L46" s="102">
        <v>750</v>
      </c>
      <c r="M46" s="102">
        <v>0</v>
      </c>
      <c r="N46" s="102">
        <v>12</v>
      </c>
      <c r="O46" s="102">
        <f t="shared" si="5"/>
        <v>0</v>
      </c>
      <c r="P46" s="102">
        <f t="shared" si="6"/>
        <v>0</v>
      </c>
      <c r="Q46" s="102">
        <f t="shared" si="7"/>
        <v>9000</v>
      </c>
      <c r="R46" s="102">
        <f t="shared" si="8"/>
        <v>750</v>
      </c>
    </row>
    <row r="47" spans="1:18" x14ac:dyDescent="0.25">
      <c r="A47" s="91">
        <v>44440</v>
      </c>
      <c r="B47">
        <v>4015</v>
      </c>
      <c r="D47" s="90" t="s">
        <v>315</v>
      </c>
      <c r="F47" s="102">
        <v>19</v>
      </c>
      <c r="G47" s="102">
        <v>2044</v>
      </c>
      <c r="H47" s="102">
        <v>0</v>
      </c>
      <c r="I47" s="102">
        <v>0</v>
      </c>
      <c r="J47" s="102">
        <v>0</v>
      </c>
      <c r="K47" s="102">
        <v>0</v>
      </c>
      <c r="L47" s="102">
        <v>750</v>
      </c>
      <c r="M47" s="102">
        <v>0</v>
      </c>
      <c r="N47" s="102">
        <v>12</v>
      </c>
      <c r="O47" s="102">
        <f t="shared" si="5"/>
        <v>0</v>
      </c>
      <c r="P47" s="102">
        <f t="shared" si="6"/>
        <v>0</v>
      </c>
      <c r="Q47" s="102">
        <f t="shared" si="7"/>
        <v>9000</v>
      </c>
      <c r="R47" s="102">
        <f t="shared" si="8"/>
        <v>750</v>
      </c>
    </row>
    <row r="48" spans="1:18" ht="15.75" thickBot="1" x14ac:dyDescent="0.3">
      <c r="A48" s="91">
        <v>44470</v>
      </c>
      <c r="B48">
        <v>2374</v>
      </c>
      <c r="D48" s="90" t="s">
        <v>315</v>
      </c>
      <c r="F48" s="101">
        <v>20</v>
      </c>
      <c r="G48" s="101">
        <v>2045</v>
      </c>
      <c r="H48" s="101">
        <v>0</v>
      </c>
      <c r="I48" s="101">
        <v>0</v>
      </c>
      <c r="J48" s="101">
        <v>0</v>
      </c>
      <c r="K48" s="101">
        <v>0</v>
      </c>
      <c r="L48" s="101">
        <v>750</v>
      </c>
      <c r="M48" s="101">
        <v>0</v>
      </c>
      <c r="N48" s="101">
        <v>12</v>
      </c>
      <c r="O48" s="101">
        <f t="shared" si="5"/>
        <v>0</v>
      </c>
      <c r="P48" s="101">
        <f t="shared" si="6"/>
        <v>0</v>
      </c>
      <c r="Q48" s="101">
        <f t="shared" si="7"/>
        <v>9000</v>
      </c>
      <c r="R48" s="101">
        <f t="shared" si="8"/>
        <v>750</v>
      </c>
    </row>
    <row r="49" spans="1:18" ht="15.75" thickBot="1" x14ac:dyDescent="0.3">
      <c r="A49" s="91">
        <v>44501</v>
      </c>
      <c r="B49">
        <v>2820</v>
      </c>
      <c r="D49" s="90" t="s">
        <v>315</v>
      </c>
      <c r="F49" s="98" t="s">
        <v>63</v>
      </c>
      <c r="G49" s="96"/>
      <c r="H49" s="97"/>
      <c r="I49" s="96"/>
      <c r="J49" s="96"/>
      <c r="K49" s="96"/>
      <c r="L49" s="96"/>
      <c r="M49" s="96"/>
      <c r="N49" s="96"/>
      <c r="O49" s="96"/>
      <c r="P49" s="96"/>
      <c r="Q49" s="96">
        <f>SUM(Q29:Q48)</f>
        <v>137400</v>
      </c>
      <c r="R49" s="95">
        <f>SUM(R29:R48)</f>
        <v>16825</v>
      </c>
    </row>
    <row r="50" spans="1:18" ht="15.75" thickBot="1" x14ac:dyDescent="0.3">
      <c r="A50" s="89">
        <v>44531</v>
      </c>
      <c r="B50" s="88">
        <v>2767</v>
      </c>
      <c r="C50" s="88"/>
      <c r="D50" s="87" t="s">
        <v>315</v>
      </c>
    </row>
    <row r="51" spans="1:18" x14ac:dyDescent="0.25">
      <c r="A51" s="94">
        <v>44562</v>
      </c>
      <c r="B51" s="93">
        <v>2378</v>
      </c>
      <c r="C51" s="93"/>
      <c r="D51" s="92" t="s">
        <v>315</v>
      </c>
    </row>
    <row r="52" spans="1:18" ht="15.75" thickBot="1" x14ac:dyDescent="0.3">
      <c r="A52" s="91">
        <v>44593</v>
      </c>
      <c r="B52">
        <v>2459</v>
      </c>
      <c r="D52" s="90" t="s">
        <v>315</v>
      </c>
    </row>
    <row r="53" spans="1:18" ht="15.75" thickBot="1" x14ac:dyDescent="0.3">
      <c r="A53" s="91">
        <v>44621</v>
      </c>
      <c r="B53">
        <v>2490</v>
      </c>
      <c r="D53" s="90" t="s">
        <v>315</v>
      </c>
      <c r="F53" s="98" t="s">
        <v>370</v>
      </c>
      <c r="G53" s="95"/>
    </row>
    <row r="54" spans="1:18" x14ac:dyDescent="0.25">
      <c r="A54" s="91">
        <v>44652</v>
      </c>
      <c r="B54">
        <v>2463</v>
      </c>
      <c r="D54" s="90" t="s">
        <v>315</v>
      </c>
      <c r="F54" s="140" t="s">
        <v>9</v>
      </c>
      <c r="G54" s="142">
        <v>1256.0899999999999</v>
      </c>
    </row>
    <row r="55" spans="1:18" x14ac:dyDescent="0.25">
      <c r="A55" s="91">
        <v>44682</v>
      </c>
      <c r="B55">
        <v>3471</v>
      </c>
      <c r="C55" t="s">
        <v>313</v>
      </c>
      <c r="D55" s="90" t="s">
        <v>315</v>
      </c>
      <c r="F55" s="100" t="s">
        <v>14</v>
      </c>
      <c r="G55" s="143">
        <v>140</v>
      </c>
    </row>
    <row r="56" spans="1:18" x14ac:dyDescent="0.25">
      <c r="A56" s="91">
        <v>44713</v>
      </c>
      <c r="B56">
        <v>2792</v>
      </c>
      <c r="D56" s="90" t="s">
        <v>315</v>
      </c>
      <c r="F56" s="100" t="s">
        <v>18</v>
      </c>
      <c r="G56" s="143">
        <v>42.5</v>
      </c>
    </row>
    <row r="57" spans="1:18" x14ac:dyDescent="0.25">
      <c r="A57" s="91">
        <v>44743</v>
      </c>
      <c r="B57">
        <v>2546</v>
      </c>
      <c r="D57" s="90" t="s">
        <v>315</v>
      </c>
      <c r="F57" s="100" t="s">
        <v>22</v>
      </c>
      <c r="G57" s="143">
        <v>33.76</v>
      </c>
    </row>
    <row r="58" spans="1:18" x14ac:dyDescent="0.25">
      <c r="A58" s="91">
        <v>44774</v>
      </c>
      <c r="B58">
        <v>2597</v>
      </c>
      <c r="D58" s="90" t="s">
        <v>315</v>
      </c>
      <c r="F58" s="100" t="s">
        <v>25</v>
      </c>
      <c r="G58" s="143">
        <v>60</v>
      </c>
    </row>
    <row r="59" spans="1:18" x14ac:dyDescent="0.25">
      <c r="A59" s="91">
        <v>44805</v>
      </c>
      <c r="B59">
        <v>4055</v>
      </c>
      <c r="C59" t="s">
        <v>316</v>
      </c>
      <c r="D59" s="90" t="s">
        <v>315</v>
      </c>
      <c r="F59" s="100" t="s">
        <v>27</v>
      </c>
      <c r="G59" s="143">
        <v>72.66</v>
      </c>
    </row>
    <row r="60" spans="1:18" x14ac:dyDescent="0.25">
      <c r="A60" s="91">
        <v>44835</v>
      </c>
      <c r="B60">
        <v>3094</v>
      </c>
      <c r="C60" t="s">
        <v>314</v>
      </c>
      <c r="D60" s="90" t="s">
        <v>312</v>
      </c>
      <c r="F60" s="100" t="s">
        <v>28</v>
      </c>
      <c r="G60" s="143">
        <v>39.24</v>
      </c>
    </row>
    <row r="61" spans="1:18" x14ac:dyDescent="0.25">
      <c r="A61" s="91">
        <v>44866</v>
      </c>
      <c r="B61">
        <v>3147</v>
      </c>
      <c r="D61" s="90" t="s">
        <v>312</v>
      </c>
      <c r="F61" s="100" t="s">
        <v>29</v>
      </c>
      <c r="G61" s="143">
        <v>184.78</v>
      </c>
    </row>
    <row r="62" spans="1:18" ht="15.75" thickBot="1" x14ac:dyDescent="0.3">
      <c r="A62" s="89">
        <v>44896</v>
      </c>
      <c r="B62" s="88">
        <v>3123</v>
      </c>
      <c r="C62" s="88"/>
      <c r="D62" s="87" t="s">
        <v>312</v>
      </c>
      <c r="F62" s="100" t="s">
        <v>31</v>
      </c>
      <c r="G62" s="143">
        <v>40</v>
      </c>
    </row>
    <row r="63" spans="1:18" x14ac:dyDescent="0.25">
      <c r="A63" s="94">
        <v>44927</v>
      </c>
      <c r="B63" s="93">
        <v>3397</v>
      </c>
      <c r="C63" s="93" t="s">
        <v>376</v>
      </c>
      <c r="D63" s="92" t="s">
        <v>312</v>
      </c>
      <c r="F63" s="100" t="s">
        <v>32</v>
      </c>
      <c r="G63" s="143">
        <v>70</v>
      </c>
    </row>
    <row r="64" spans="1:18" x14ac:dyDescent="0.25">
      <c r="A64" s="91">
        <v>44958</v>
      </c>
      <c r="B64">
        <v>3304</v>
      </c>
      <c r="D64" s="90" t="s">
        <v>312</v>
      </c>
      <c r="F64" s="100" t="s">
        <v>33</v>
      </c>
      <c r="G64" s="143">
        <v>10.93</v>
      </c>
    </row>
    <row r="65" spans="1:8" x14ac:dyDescent="0.25">
      <c r="A65" s="91">
        <v>44986</v>
      </c>
      <c r="B65">
        <v>3257</v>
      </c>
      <c r="D65" s="90" t="s">
        <v>312</v>
      </c>
      <c r="F65" s="100" t="s">
        <v>39</v>
      </c>
      <c r="G65" s="143">
        <v>32</v>
      </c>
    </row>
    <row r="66" spans="1:8" x14ac:dyDescent="0.25">
      <c r="A66" s="91">
        <v>45017</v>
      </c>
      <c r="B66">
        <v>4907</v>
      </c>
      <c r="C66" t="s">
        <v>313</v>
      </c>
      <c r="D66" s="90" t="s">
        <v>312</v>
      </c>
      <c r="F66" s="100" t="s">
        <v>44</v>
      </c>
      <c r="G66" s="143">
        <v>80</v>
      </c>
    </row>
    <row r="67" spans="1:8" x14ac:dyDescent="0.25">
      <c r="A67" s="91">
        <v>45047</v>
      </c>
      <c r="B67">
        <v>3257</v>
      </c>
      <c r="D67" s="90" t="s">
        <v>312</v>
      </c>
      <c r="F67" s="100" t="s">
        <v>52</v>
      </c>
      <c r="G67" s="143">
        <v>420</v>
      </c>
    </row>
    <row r="68" spans="1:8" x14ac:dyDescent="0.25">
      <c r="A68" s="91">
        <v>45078</v>
      </c>
      <c r="B68">
        <v>3257</v>
      </c>
      <c r="D68" s="90" t="s">
        <v>312</v>
      </c>
      <c r="F68" s="100" t="s">
        <v>59</v>
      </c>
      <c r="G68" s="143">
        <v>224</v>
      </c>
      <c r="H68" s="86">
        <f>G68*12</f>
        <v>2688</v>
      </c>
    </row>
    <row r="69" spans="1:8" ht="15.75" thickBot="1" x14ac:dyDescent="0.3">
      <c r="A69" s="91">
        <v>45108</v>
      </c>
      <c r="B69">
        <v>3307</v>
      </c>
      <c r="D69" s="90" t="s">
        <v>312</v>
      </c>
      <c r="F69" s="99" t="s">
        <v>57</v>
      </c>
      <c r="G69" s="144">
        <v>500</v>
      </c>
      <c r="H69" s="86">
        <f>G69*12</f>
        <v>6000</v>
      </c>
    </row>
    <row r="70" spans="1:8" ht="15.75" thickBot="1" x14ac:dyDescent="0.3">
      <c r="A70" s="91">
        <v>45139</v>
      </c>
      <c r="B70">
        <v>3307</v>
      </c>
      <c r="D70" s="90" t="s">
        <v>312</v>
      </c>
      <c r="F70" s="98" t="s">
        <v>42</v>
      </c>
      <c r="G70" s="141">
        <f>SUM(G54:G69)</f>
        <v>3205.96</v>
      </c>
    </row>
    <row r="71" spans="1:8" ht="15.75" thickBot="1" x14ac:dyDescent="0.3">
      <c r="A71" s="91">
        <v>45170</v>
      </c>
      <c r="B71">
        <v>3356</v>
      </c>
      <c r="D71" s="90" t="s">
        <v>312</v>
      </c>
    </row>
    <row r="72" spans="1:8" ht="15.75" thickBot="1" x14ac:dyDescent="0.3">
      <c r="A72" s="91">
        <v>45200</v>
      </c>
      <c r="B72">
        <v>3877</v>
      </c>
      <c r="D72" s="90" t="s">
        <v>312</v>
      </c>
      <c r="F72" s="98" t="s">
        <v>371</v>
      </c>
      <c r="G72" s="95"/>
    </row>
    <row r="73" spans="1:8" x14ac:dyDescent="0.25">
      <c r="A73" s="91">
        <v>45231</v>
      </c>
      <c r="B73">
        <v>3378</v>
      </c>
      <c r="D73" s="90" t="s">
        <v>312</v>
      </c>
      <c r="F73" s="140" t="s">
        <v>46</v>
      </c>
      <c r="G73" s="92">
        <v>0</v>
      </c>
    </row>
    <row r="74" spans="1:8" ht="15.75" thickBot="1" x14ac:dyDescent="0.3">
      <c r="A74" s="89">
        <v>45261</v>
      </c>
      <c r="B74" s="88">
        <v>3378</v>
      </c>
      <c r="C74" s="88"/>
      <c r="D74" s="87" t="s">
        <v>312</v>
      </c>
      <c r="F74" s="100" t="s">
        <v>48</v>
      </c>
      <c r="G74" s="90">
        <v>600</v>
      </c>
    </row>
    <row r="75" spans="1:8" x14ac:dyDescent="0.25">
      <c r="A75" s="94">
        <v>45292</v>
      </c>
      <c r="B75" s="93">
        <v>3877</v>
      </c>
      <c r="C75" s="93" t="s">
        <v>376</v>
      </c>
      <c r="D75" s="92" t="s">
        <v>312</v>
      </c>
      <c r="F75" s="100" t="s">
        <v>71</v>
      </c>
      <c r="G75" s="90">
        <v>16.5</v>
      </c>
    </row>
    <row r="76" spans="1:8" ht="15.75" thickBot="1" x14ac:dyDescent="0.3">
      <c r="A76" s="91">
        <v>45323</v>
      </c>
      <c r="B76">
        <v>3378</v>
      </c>
      <c r="D76" s="90" t="s">
        <v>312</v>
      </c>
      <c r="F76" s="99" t="s">
        <v>55</v>
      </c>
      <c r="G76" s="87">
        <v>100</v>
      </c>
    </row>
    <row r="77" spans="1:8" ht="15.75" thickBot="1" x14ac:dyDescent="0.3">
      <c r="A77" s="91">
        <v>45352</v>
      </c>
      <c r="B77">
        <v>3378</v>
      </c>
      <c r="D77" s="90" t="s">
        <v>312</v>
      </c>
      <c r="F77" s="98" t="s">
        <v>42</v>
      </c>
      <c r="G77" s="95">
        <f>SUM(G73:G76)</f>
        <v>716.5</v>
      </c>
    </row>
    <row r="78" spans="1:8" ht="15.75" thickBot="1" x14ac:dyDescent="0.3">
      <c r="A78" s="91">
        <v>45383</v>
      </c>
      <c r="B78">
        <v>3603</v>
      </c>
      <c r="D78" s="90" t="s">
        <v>312</v>
      </c>
      <c r="F78" s="98" t="s">
        <v>63</v>
      </c>
      <c r="G78" s="95">
        <f>G70+G77</f>
        <v>3922.46</v>
      </c>
    </row>
    <row r="79" spans="1:8" x14ac:dyDescent="0.25">
      <c r="A79" s="91">
        <v>45413</v>
      </c>
      <c r="B79">
        <v>6076</v>
      </c>
      <c r="C79" t="s">
        <v>313</v>
      </c>
      <c r="D79" s="90" t="s">
        <v>312</v>
      </c>
    </row>
    <row r="80" spans="1:8" x14ac:dyDescent="0.25">
      <c r="A80" s="91">
        <v>45444</v>
      </c>
      <c r="B80">
        <v>3537</v>
      </c>
      <c r="D80" s="90" t="s">
        <v>312</v>
      </c>
    </row>
    <row r="81" spans="1:4" x14ac:dyDescent="0.25">
      <c r="A81" s="91">
        <v>45474</v>
      </c>
      <c r="B81">
        <v>3537</v>
      </c>
      <c r="D81" s="90" t="s">
        <v>312</v>
      </c>
    </row>
    <row r="82" spans="1:4" x14ac:dyDescent="0.25">
      <c r="A82" s="91">
        <v>45505</v>
      </c>
      <c r="B82">
        <v>3537</v>
      </c>
      <c r="D82" s="90" t="s">
        <v>312</v>
      </c>
    </row>
    <row r="83" spans="1:4" x14ac:dyDescent="0.25">
      <c r="A83" s="91">
        <v>45536</v>
      </c>
      <c r="B83">
        <v>3537</v>
      </c>
      <c r="D83" s="90" t="s">
        <v>312</v>
      </c>
    </row>
    <row r="84" spans="1:4" x14ac:dyDescent="0.25">
      <c r="A84" s="91">
        <v>45566</v>
      </c>
      <c r="B84">
        <v>3537</v>
      </c>
      <c r="D84" s="90" t="s">
        <v>312</v>
      </c>
    </row>
    <row r="85" spans="1:4" x14ac:dyDescent="0.25">
      <c r="A85" s="91">
        <v>45597</v>
      </c>
      <c r="B85">
        <v>3589</v>
      </c>
      <c r="D85" s="90" t="s">
        <v>312</v>
      </c>
    </row>
    <row r="86" spans="1:4" ht="15.75" thickBot="1" x14ac:dyDescent="0.3">
      <c r="A86" s="89">
        <v>45627</v>
      </c>
      <c r="B86" s="88">
        <v>3537</v>
      </c>
      <c r="C86" s="88"/>
      <c r="D86" s="87" t="s">
        <v>312</v>
      </c>
    </row>
    <row r="87" spans="1:4" x14ac:dyDescent="0.25">
      <c r="A87" s="94">
        <v>45658</v>
      </c>
      <c r="B87" s="93">
        <v>4049</v>
      </c>
      <c r="C87" s="93" t="s">
        <v>376</v>
      </c>
      <c r="D87" s="92" t="s">
        <v>312</v>
      </c>
    </row>
    <row r="88" spans="1:4" x14ac:dyDescent="0.25">
      <c r="A88" s="91">
        <v>45689</v>
      </c>
      <c r="B88">
        <v>3609</v>
      </c>
      <c r="D88" s="90" t="s">
        <v>312</v>
      </c>
    </row>
    <row r="89" spans="1:4" x14ac:dyDescent="0.25">
      <c r="A89" s="91">
        <v>45717</v>
      </c>
      <c r="B89">
        <v>3609</v>
      </c>
      <c r="D89" s="90" t="s">
        <v>312</v>
      </c>
    </row>
    <row r="90" spans="1:4" x14ac:dyDescent="0.25">
      <c r="A90" s="91">
        <v>45748</v>
      </c>
      <c r="B90">
        <v>3609</v>
      </c>
      <c r="D90" s="90" t="s">
        <v>312</v>
      </c>
    </row>
    <row r="91" spans="1:4" x14ac:dyDescent="0.25">
      <c r="A91" s="91">
        <v>45778</v>
      </c>
      <c r="B91">
        <v>6108</v>
      </c>
      <c r="C91" t="s">
        <v>313</v>
      </c>
      <c r="D91" s="90" t="s">
        <v>312</v>
      </c>
    </row>
    <row r="92" spans="1:4" x14ac:dyDescent="0.25">
      <c r="A92" s="91">
        <v>45809</v>
      </c>
      <c r="B92">
        <v>3720</v>
      </c>
      <c r="D92" s="90" t="s">
        <v>312</v>
      </c>
    </row>
    <row r="93" spans="1:4" x14ac:dyDescent="0.25">
      <c r="A93" s="91">
        <v>45839</v>
      </c>
      <c r="B93">
        <v>3720</v>
      </c>
      <c r="D93" s="90" t="s">
        <v>312</v>
      </c>
    </row>
    <row r="94" spans="1:4" x14ac:dyDescent="0.25">
      <c r="A94" s="91">
        <v>45870</v>
      </c>
      <c r="B94">
        <v>3720</v>
      </c>
      <c r="D94" s="90" t="s">
        <v>312</v>
      </c>
    </row>
    <row r="95" spans="1:4" x14ac:dyDescent="0.25">
      <c r="A95" s="91">
        <v>45901</v>
      </c>
      <c r="B95">
        <v>3720</v>
      </c>
      <c r="D95" s="90" t="s">
        <v>312</v>
      </c>
    </row>
    <row r="96" spans="1:4" x14ac:dyDescent="0.25">
      <c r="A96" s="91">
        <v>45931</v>
      </c>
      <c r="B96">
        <v>3720</v>
      </c>
      <c r="D96" s="90" t="s">
        <v>312</v>
      </c>
    </row>
    <row r="97" spans="1:4" x14ac:dyDescent="0.25">
      <c r="A97" s="91">
        <v>45962</v>
      </c>
      <c r="B97">
        <v>3720</v>
      </c>
      <c r="D97" s="90" t="s">
        <v>312</v>
      </c>
    </row>
    <row r="98" spans="1:4" ht="15.75" thickBot="1" x14ac:dyDescent="0.3">
      <c r="A98" s="91">
        <v>45992</v>
      </c>
      <c r="B98">
        <v>3720</v>
      </c>
      <c r="D98" s="90" t="s">
        <v>312</v>
      </c>
    </row>
    <row r="99" spans="1:4" x14ac:dyDescent="0.25">
      <c r="A99" s="94">
        <v>46023</v>
      </c>
      <c r="B99" s="93">
        <f>3720+800</f>
        <v>4520</v>
      </c>
      <c r="C99" s="93" t="s">
        <v>376</v>
      </c>
      <c r="D99" s="92" t="s">
        <v>312</v>
      </c>
    </row>
    <row r="100" spans="1:4" x14ac:dyDescent="0.25">
      <c r="A100" s="91">
        <v>46054</v>
      </c>
      <c r="B100">
        <v>3720</v>
      </c>
      <c r="D100" s="90" t="s">
        <v>312</v>
      </c>
    </row>
    <row r="101" spans="1:4" x14ac:dyDescent="0.25">
      <c r="A101" s="91">
        <v>46082</v>
      </c>
      <c r="B101">
        <v>3720</v>
      </c>
      <c r="D101" s="90" t="s">
        <v>312</v>
      </c>
    </row>
    <row r="102" spans="1:4" x14ac:dyDescent="0.25">
      <c r="A102" s="91">
        <v>46113</v>
      </c>
      <c r="B102">
        <v>3720</v>
      </c>
      <c r="D102" s="90" t="s">
        <v>312</v>
      </c>
    </row>
    <row r="103" spans="1:4" x14ac:dyDescent="0.25">
      <c r="A103" s="91">
        <v>46143</v>
      </c>
      <c r="B103">
        <v>6200</v>
      </c>
      <c r="C103" t="s">
        <v>313</v>
      </c>
      <c r="D103" s="90" t="s">
        <v>312</v>
      </c>
    </row>
    <row r="104" spans="1:4" x14ac:dyDescent="0.25">
      <c r="A104" s="91">
        <v>46174</v>
      </c>
      <c r="B104" s="86">
        <v>3850</v>
      </c>
      <c r="D104" s="90" t="s">
        <v>312</v>
      </c>
    </row>
    <row r="105" spans="1:4" x14ac:dyDescent="0.25">
      <c r="A105" s="91">
        <v>46204</v>
      </c>
      <c r="B105" s="86">
        <v>3850</v>
      </c>
      <c r="D105" s="90" t="s">
        <v>312</v>
      </c>
    </row>
    <row r="106" spans="1:4" x14ac:dyDescent="0.25">
      <c r="A106" s="91">
        <v>46235</v>
      </c>
      <c r="B106" s="86">
        <v>3850</v>
      </c>
      <c r="D106" s="90" t="s">
        <v>312</v>
      </c>
    </row>
    <row r="107" spans="1:4" x14ac:dyDescent="0.25">
      <c r="A107" s="91">
        <v>46266</v>
      </c>
      <c r="B107" s="86">
        <v>3850</v>
      </c>
      <c r="D107" s="90" t="s">
        <v>312</v>
      </c>
    </row>
    <row r="108" spans="1:4" x14ac:dyDescent="0.25">
      <c r="A108" s="91">
        <v>46296</v>
      </c>
      <c r="B108" s="86">
        <v>3850</v>
      </c>
      <c r="D108" s="90" t="s">
        <v>312</v>
      </c>
    </row>
    <row r="109" spans="1:4" x14ac:dyDescent="0.25">
      <c r="A109" s="91">
        <v>46327</v>
      </c>
      <c r="B109" s="86">
        <v>3850</v>
      </c>
      <c r="D109" s="90" t="s">
        <v>312</v>
      </c>
    </row>
    <row r="110" spans="1:4" ht="15.75" thickBot="1" x14ac:dyDescent="0.3">
      <c r="A110" s="89">
        <v>46357</v>
      </c>
      <c r="B110" s="146">
        <v>3850</v>
      </c>
      <c r="C110" s="88"/>
      <c r="D110" s="87" t="s">
        <v>312</v>
      </c>
    </row>
    <row r="111" spans="1:4" x14ac:dyDescent="0.25">
      <c r="A111" s="94">
        <v>46388</v>
      </c>
      <c r="B111" s="145">
        <v>4850</v>
      </c>
      <c r="C111" s="93" t="s">
        <v>376</v>
      </c>
      <c r="D111" s="92" t="s">
        <v>312</v>
      </c>
    </row>
    <row r="112" spans="1:4" x14ac:dyDescent="0.25">
      <c r="A112" s="91">
        <v>46419</v>
      </c>
      <c r="B112" s="86">
        <v>3850</v>
      </c>
      <c r="D112" s="90" t="s">
        <v>312</v>
      </c>
    </row>
    <row r="113" spans="1:4" x14ac:dyDescent="0.25">
      <c r="A113" s="91">
        <v>46447</v>
      </c>
      <c r="B113" s="86">
        <v>3850</v>
      </c>
      <c r="D113" s="90" t="s">
        <v>312</v>
      </c>
    </row>
    <row r="114" spans="1:4" x14ac:dyDescent="0.25">
      <c r="A114" s="91">
        <v>46478</v>
      </c>
      <c r="B114" s="86">
        <v>3850</v>
      </c>
      <c r="D114" s="90" t="s">
        <v>312</v>
      </c>
    </row>
    <row r="115" spans="1:4" x14ac:dyDescent="0.25">
      <c r="A115" s="91">
        <v>46508</v>
      </c>
      <c r="B115" s="86">
        <v>6400</v>
      </c>
      <c r="C115" t="s">
        <v>313</v>
      </c>
      <c r="D115" s="90" t="s">
        <v>312</v>
      </c>
    </row>
    <row r="116" spans="1:4" x14ac:dyDescent="0.25">
      <c r="A116" s="91">
        <v>46539</v>
      </c>
      <c r="B116" s="86">
        <v>3930</v>
      </c>
      <c r="D116" s="90" t="s">
        <v>312</v>
      </c>
    </row>
    <row r="117" spans="1:4" x14ac:dyDescent="0.25">
      <c r="A117" s="91">
        <v>46569</v>
      </c>
      <c r="B117" s="86">
        <v>3930</v>
      </c>
      <c r="D117" s="90" t="s">
        <v>312</v>
      </c>
    </row>
    <row r="118" spans="1:4" x14ac:dyDescent="0.25">
      <c r="A118" s="91">
        <v>46600</v>
      </c>
      <c r="B118" s="86">
        <v>3930</v>
      </c>
      <c r="D118" s="90" t="s">
        <v>312</v>
      </c>
    </row>
    <row r="119" spans="1:4" x14ac:dyDescent="0.25">
      <c r="A119" s="91">
        <v>46631</v>
      </c>
      <c r="B119" s="86">
        <v>3930</v>
      </c>
      <c r="D119" s="90" t="s">
        <v>312</v>
      </c>
    </row>
    <row r="120" spans="1:4" x14ac:dyDescent="0.25">
      <c r="A120" s="91">
        <v>46661</v>
      </c>
      <c r="B120" s="86">
        <v>3930</v>
      </c>
      <c r="D120" s="90" t="s">
        <v>312</v>
      </c>
    </row>
    <row r="121" spans="1:4" x14ac:dyDescent="0.25">
      <c r="A121" s="91">
        <v>46692</v>
      </c>
      <c r="B121" s="86">
        <v>3930</v>
      </c>
      <c r="D121" s="90" t="s">
        <v>312</v>
      </c>
    </row>
    <row r="122" spans="1:4" ht="15.75" thickBot="1" x14ac:dyDescent="0.3">
      <c r="A122" s="89">
        <v>46722</v>
      </c>
      <c r="B122" s="146">
        <v>3930</v>
      </c>
      <c r="C122" s="88"/>
      <c r="D122" s="87" t="s">
        <v>312</v>
      </c>
    </row>
    <row r="123" spans="1:4" x14ac:dyDescent="0.25">
      <c r="A123" s="94">
        <v>46753</v>
      </c>
      <c r="B123" s="145">
        <f>3930+800</f>
        <v>4730</v>
      </c>
      <c r="C123" s="93" t="s">
        <v>376</v>
      </c>
      <c r="D123" s="92" t="s">
        <v>312</v>
      </c>
    </row>
    <row r="124" spans="1:4" x14ac:dyDescent="0.25">
      <c r="A124" s="91">
        <v>46784</v>
      </c>
      <c r="B124" s="86">
        <v>3930</v>
      </c>
      <c r="D124" s="90" t="s">
        <v>312</v>
      </c>
    </row>
    <row r="125" spans="1:4" x14ac:dyDescent="0.25">
      <c r="A125" s="91">
        <v>46813</v>
      </c>
      <c r="B125" s="86">
        <v>3930</v>
      </c>
      <c r="D125" s="90" t="s">
        <v>312</v>
      </c>
    </row>
    <row r="126" spans="1:4" x14ac:dyDescent="0.25">
      <c r="A126" s="91">
        <v>46844</v>
      </c>
      <c r="B126" s="86">
        <v>3930</v>
      </c>
      <c r="D126" s="90" t="s">
        <v>312</v>
      </c>
    </row>
    <row r="127" spans="1:4" x14ac:dyDescent="0.25">
      <c r="A127" s="91">
        <v>46874</v>
      </c>
      <c r="B127" s="86">
        <v>6600</v>
      </c>
      <c r="C127" t="s">
        <v>313</v>
      </c>
      <c r="D127" s="90" t="s">
        <v>312</v>
      </c>
    </row>
    <row r="128" spans="1:4" x14ac:dyDescent="0.25">
      <c r="A128" s="91">
        <v>46905</v>
      </c>
      <c r="B128" s="86">
        <v>4100</v>
      </c>
      <c r="D128" s="90" t="s">
        <v>312</v>
      </c>
    </row>
    <row r="129" spans="1:4" x14ac:dyDescent="0.25">
      <c r="A129" s="91">
        <v>46935</v>
      </c>
      <c r="B129" s="86">
        <v>4100</v>
      </c>
      <c r="D129" s="90" t="s">
        <v>312</v>
      </c>
    </row>
    <row r="130" spans="1:4" x14ac:dyDescent="0.25">
      <c r="A130" s="91">
        <v>46966</v>
      </c>
      <c r="B130" s="86">
        <v>4100</v>
      </c>
      <c r="D130" s="90" t="s">
        <v>312</v>
      </c>
    </row>
    <row r="131" spans="1:4" x14ac:dyDescent="0.25">
      <c r="A131" s="91">
        <v>46997</v>
      </c>
      <c r="B131" s="86">
        <v>4100</v>
      </c>
      <c r="D131" s="90" t="s">
        <v>312</v>
      </c>
    </row>
    <row r="132" spans="1:4" x14ac:dyDescent="0.25">
      <c r="A132" s="91">
        <v>47027</v>
      </c>
      <c r="B132" s="86">
        <v>4100</v>
      </c>
      <c r="D132" s="90" t="s">
        <v>312</v>
      </c>
    </row>
    <row r="133" spans="1:4" x14ac:dyDescent="0.25">
      <c r="A133" s="91">
        <v>47058</v>
      </c>
      <c r="B133" s="86">
        <v>4100</v>
      </c>
      <c r="D133" s="90" t="s">
        <v>312</v>
      </c>
    </row>
    <row r="134" spans="1:4" ht="15.75" thickBot="1" x14ac:dyDescent="0.3">
      <c r="A134" s="89">
        <v>47088</v>
      </c>
      <c r="B134" s="146">
        <v>4100</v>
      </c>
      <c r="C134" s="88"/>
      <c r="D134" s="87" t="s">
        <v>312</v>
      </c>
    </row>
    <row r="135" spans="1:4" x14ac:dyDescent="0.25">
      <c r="A135" s="94">
        <v>47119</v>
      </c>
      <c r="B135" s="145">
        <f>4100+500</f>
        <v>4600</v>
      </c>
      <c r="C135" s="93" t="s">
        <v>375</v>
      </c>
      <c r="D135" s="92" t="s">
        <v>312</v>
      </c>
    </row>
    <row r="136" spans="1:4" x14ac:dyDescent="0.25">
      <c r="A136" s="91">
        <v>47150</v>
      </c>
      <c r="B136" s="86">
        <v>4100</v>
      </c>
      <c r="D136" s="90" t="s">
        <v>312</v>
      </c>
    </row>
    <row r="137" spans="1:4" x14ac:dyDescent="0.25">
      <c r="A137" s="91">
        <v>47178</v>
      </c>
      <c r="B137" s="86">
        <v>4100</v>
      </c>
      <c r="D137" s="90" t="s">
        <v>312</v>
      </c>
    </row>
    <row r="138" spans="1:4" x14ac:dyDescent="0.25">
      <c r="A138" s="91">
        <v>47209</v>
      </c>
      <c r="B138" s="86">
        <v>4100</v>
      </c>
      <c r="D138" s="90" t="s">
        <v>312</v>
      </c>
    </row>
    <row r="139" spans="1:4" x14ac:dyDescent="0.25">
      <c r="A139" s="91">
        <v>47239</v>
      </c>
      <c r="B139" s="86">
        <v>6800</v>
      </c>
      <c r="C139" t="s">
        <v>313</v>
      </c>
      <c r="D139" s="90" t="s">
        <v>312</v>
      </c>
    </row>
    <row r="140" spans="1:4" x14ac:dyDescent="0.25">
      <c r="A140" s="91">
        <v>47270</v>
      </c>
      <c r="B140" s="86">
        <v>4182</v>
      </c>
      <c r="D140" s="90" t="s">
        <v>312</v>
      </c>
    </row>
    <row r="141" spans="1:4" x14ac:dyDescent="0.25">
      <c r="A141" s="91">
        <v>47300</v>
      </c>
      <c r="B141" s="86">
        <v>4182</v>
      </c>
      <c r="D141" s="90" t="s">
        <v>312</v>
      </c>
    </row>
    <row r="142" spans="1:4" x14ac:dyDescent="0.25">
      <c r="A142" s="91">
        <v>47331</v>
      </c>
      <c r="B142" s="86">
        <v>4182</v>
      </c>
      <c r="D142" s="90" t="s">
        <v>312</v>
      </c>
    </row>
    <row r="143" spans="1:4" x14ac:dyDescent="0.25">
      <c r="A143" s="91">
        <v>47362</v>
      </c>
      <c r="B143" s="86">
        <v>4182</v>
      </c>
      <c r="D143" s="90" t="s">
        <v>312</v>
      </c>
    </row>
    <row r="144" spans="1:4" x14ac:dyDescent="0.25">
      <c r="A144" s="91">
        <v>47392</v>
      </c>
      <c r="B144" s="86">
        <v>4182</v>
      </c>
      <c r="D144" s="90" t="s">
        <v>312</v>
      </c>
    </row>
    <row r="145" spans="1:4" x14ac:dyDescent="0.25">
      <c r="A145" s="91">
        <v>47423</v>
      </c>
      <c r="B145" s="86">
        <v>4182</v>
      </c>
      <c r="D145" s="90" t="s">
        <v>312</v>
      </c>
    </row>
    <row r="146" spans="1:4" ht="15.75" thickBot="1" x14ac:dyDescent="0.3">
      <c r="A146" s="89">
        <v>47453</v>
      </c>
      <c r="B146" s="146">
        <v>4182</v>
      </c>
      <c r="C146" s="88"/>
      <c r="D146" s="87" t="s">
        <v>312</v>
      </c>
    </row>
    <row r="147" spans="1:4" x14ac:dyDescent="0.25">
      <c r="A147" s="91">
        <v>47484</v>
      </c>
      <c r="B147" s="86">
        <f>4182+500</f>
        <v>4682</v>
      </c>
      <c r="C147" t="s">
        <v>375</v>
      </c>
      <c r="D147" s="90" t="s">
        <v>312</v>
      </c>
    </row>
    <row r="148" spans="1:4" x14ac:dyDescent="0.25">
      <c r="A148" s="91">
        <v>47515</v>
      </c>
      <c r="B148" s="86">
        <v>4182</v>
      </c>
      <c r="D148" s="90" t="s">
        <v>312</v>
      </c>
    </row>
    <row r="149" spans="1:4" x14ac:dyDescent="0.25">
      <c r="A149" s="91">
        <v>47543</v>
      </c>
      <c r="B149" s="86">
        <v>4182</v>
      </c>
      <c r="D149" s="90" t="s">
        <v>312</v>
      </c>
    </row>
    <row r="150" spans="1:4" x14ac:dyDescent="0.25">
      <c r="A150" s="91">
        <v>47574</v>
      </c>
      <c r="B150" s="86">
        <v>4182</v>
      </c>
      <c r="D150" s="90" t="s">
        <v>312</v>
      </c>
    </row>
    <row r="151" spans="1:4" x14ac:dyDescent="0.25">
      <c r="A151" s="91">
        <v>47604</v>
      </c>
      <c r="B151" s="86">
        <v>6700</v>
      </c>
      <c r="C151" t="s">
        <v>313</v>
      </c>
      <c r="D151" s="90" t="s">
        <v>312</v>
      </c>
    </row>
    <row r="152" spans="1:4" x14ac:dyDescent="0.25">
      <c r="A152" s="91">
        <v>47635</v>
      </c>
      <c r="B152" s="86">
        <v>4265</v>
      </c>
      <c r="D152" s="90" t="s">
        <v>312</v>
      </c>
    </row>
    <row r="153" spans="1:4" x14ac:dyDescent="0.25">
      <c r="A153" s="91">
        <v>47665</v>
      </c>
      <c r="B153" s="86">
        <v>4265</v>
      </c>
      <c r="D153" s="90" t="s">
        <v>312</v>
      </c>
    </row>
    <row r="154" spans="1:4" x14ac:dyDescent="0.25">
      <c r="A154" s="91">
        <v>47696</v>
      </c>
      <c r="B154" s="86">
        <v>4265</v>
      </c>
      <c r="D154" s="90" t="s">
        <v>312</v>
      </c>
    </row>
    <row r="155" spans="1:4" x14ac:dyDescent="0.25">
      <c r="A155" s="91">
        <v>47727</v>
      </c>
      <c r="B155" s="86">
        <v>4265</v>
      </c>
      <c r="D155" s="90" t="s">
        <v>312</v>
      </c>
    </row>
    <row r="156" spans="1:4" x14ac:dyDescent="0.25">
      <c r="A156" s="91">
        <v>47757</v>
      </c>
      <c r="B156" s="86">
        <v>4265</v>
      </c>
      <c r="D156" s="90" t="s">
        <v>312</v>
      </c>
    </row>
    <row r="157" spans="1:4" x14ac:dyDescent="0.25">
      <c r="A157" s="91">
        <v>47788</v>
      </c>
      <c r="B157" s="86">
        <v>4265</v>
      </c>
      <c r="D157" s="90" t="s">
        <v>312</v>
      </c>
    </row>
    <row r="158" spans="1:4" ht="15.75" thickBot="1" x14ac:dyDescent="0.3">
      <c r="A158" s="89">
        <v>47818</v>
      </c>
      <c r="B158" s="86">
        <v>4265</v>
      </c>
      <c r="C158" s="88"/>
      <c r="D158" s="87" t="s">
        <v>312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3566F-EB20-4DF9-9BE3-73C4AF343458}">
  <dimension ref="A1"/>
  <sheetViews>
    <sheetView topLeftCell="A46" zoomScale="70" zoomScaleNormal="70" workbookViewId="0">
      <selection activeCell="Z115" sqref="Z1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C2F1-F1FC-4791-A20E-D3726410B8E9}">
  <dimension ref="A1:U79"/>
  <sheetViews>
    <sheetView zoomScale="70" zoomScaleNormal="70" workbookViewId="0">
      <selection activeCell="K32" sqref="K32"/>
    </sheetView>
  </sheetViews>
  <sheetFormatPr defaultRowHeight="15" x14ac:dyDescent="0.25"/>
  <cols>
    <col min="1" max="1" width="35.140625" bestFit="1" customWidth="1"/>
    <col min="2" max="2" width="10.140625" bestFit="1" customWidth="1"/>
    <col min="3" max="3" width="17.5703125" bestFit="1" customWidth="1"/>
    <col min="4" max="4" width="9.5703125" bestFit="1" customWidth="1"/>
    <col min="5" max="5" width="12.5703125" bestFit="1" customWidth="1"/>
    <col min="6" max="6" width="7.140625" bestFit="1" customWidth="1"/>
    <col min="7" max="7" width="22.85546875" bestFit="1" customWidth="1"/>
    <col min="8" max="8" width="9.7109375" bestFit="1" customWidth="1"/>
    <col min="9" max="9" width="39.140625" bestFit="1" customWidth="1"/>
    <col min="10" max="10" width="10.5703125" bestFit="1" customWidth="1"/>
    <col min="12" max="12" width="22" customWidth="1"/>
    <col min="13" max="13" width="35.42578125" bestFit="1" customWidth="1"/>
    <col min="14" max="14" width="12.28515625" bestFit="1" customWidth="1"/>
    <col min="15" max="15" width="19.28515625" bestFit="1" customWidth="1"/>
    <col min="16" max="16" width="11.28515625" bestFit="1" customWidth="1"/>
    <col min="18" max="18" width="22.7109375" customWidth="1"/>
    <col min="19" max="19" width="9.42578125" bestFit="1" customWidth="1"/>
  </cols>
  <sheetData>
    <row r="1" spans="1:21" ht="15.75" thickBot="1" x14ac:dyDescent="0.3">
      <c r="A1" s="1" t="s">
        <v>0</v>
      </c>
      <c r="B1" s="2"/>
      <c r="C1" s="3" t="s">
        <v>1</v>
      </c>
      <c r="D1" s="4"/>
      <c r="E1" s="5" t="s">
        <v>2</v>
      </c>
      <c r="F1" s="6"/>
      <c r="G1" s="7" t="s">
        <v>3</v>
      </c>
      <c r="H1" s="8"/>
      <c r="I1" s="9" t="s">
        <v>4</v>
      </c>
      <c r="J1" s="10"/>
      <c r="K1" s="11"/>
      <c r="L1" s="11"/>
      <c r="M1" s="11"/>
      <c r="N1" s="11"/>
      <c r="O1" s="11"/>
    </row>
    <row r="2" spans="1:21" x14ac:dyDescent="0.25">
      <c r="A2" s="12" t="s">
        <v>5</v>
      </c>
      <c r="B2" s="13">
        <v>0</v>
      </c>
      <c r="C2" s="14" t="s">
        <v>6</v>
      </c>
      <c r="D2" s="15">
        <v>3740</v>
      </c>
      <c r="E2" s="16" t="s">
        <v>7</v>
      </c>
      <c r="F2" s="17">
        <v>10</v>
      </c>
      <c r="G2" s="18" t="s">
        <v>8</v>
      </c>
      <c r="H2" s="19">
        <v>0</v>
      </c>
      <c r="I2" s="20" t="s">
        <v>9</v>
      </c>
      <c r="J2" s="21">
        <v>1256.0899999999999</v>
      </c>
      <c r="K2" s="11"/>
      <c r="L2" s="22"/>
      <c r="M2" s="23" t="s">
        <v>10</v>
      </c>
      <c r="N2" s="11"/>
      <c r="P2" s="11"/>
    </row>
    <row r="3" spans="1:21" x14ac:dyDescent="0.25">
      <c r="A3" s="12" t="s">
        <v>11</v>
      </c>
      <c r="B3" s="13">
        <v>0</v>
      </c>
      <c r="C3" s="14" t="s">
        <v>12</v>
      </c>
      <c r="D3" s="15">
        <v>568</v>
      </c>
      <c r="E3" s="16" t="s">
        <v>380</v>
      </c>
      <c r="F3" s="17">
        <v>10</v>
      </c>
      <c r="G3" s="18" t="s">
        <v>13</v>
      </c>
      <c r="H3" s="19">
        <v>0</v>
      </c>
      <c r="I3" s="20" t="s">
        <v>14</v>
      </c>
      <c r="J3" s="21">
        <f>114+73</f>
        <v>187</v>
      </c>
      <c r="K3" s="11"/>
      <c r="L3" s="24"/>
      <c r="M3" s="25" t="s">
        <v>15</v>
      </c>
      <c r="N3" s="11"/>
      <c r="P3" s="11"/>
    </row>
    <row r="4" spans="1:21" x14ac:dyDescent="0.25">
      <c r="A4" s="12"/>
      <c r="B4" s="13"/>
      <c r="C4" s="14" t="s">
        <v>16</v>
      </c>
      <c r="D4" s="15"/>
      <c r="E4" s="16" t="s">
        <v>384</v>
      </c>
      <c r="F4" s="17">
        <v>224.2</v>
      </c>
      <c r="G4" s="18" t="s">
        <v>17</v>
      </c>
      <c r="H4" s="19">
        <v>0</v>
      </c>
      <c r="I4" s="20" t="s">
        <v>18</v>
      </c>
      <c r="J4" s="21">
        <v>42.5</v>
      </c>
      <c r="K4" s="11"/>
      <c r="L4" s="24" t="s">
        <v>19</v>
      </c>
      <c r="M4" s="25">
        <v>259</v>
      </c>
      <c r="N4" s="11"/>
      <c r="O4" s="11"/>
    </row>
    <row r="5" spans="1:21" x14ac:dyDescent="0.25">
      <c r="A5" s="12"/>
      <c r="B5" s="13"/>
      <c r="C5" s="14" t="s">
        <v>20</v>
      </c>
      <c r="D5" s="15"/>
      <c r="E5" s="16" t="s">
        <v>385</v>
      </c>
      <c r="F5" s="17">
        <v>420</v>
      </c>
      <c r="G5" s="18" t="s">
        <v>21</v>
      </c>
      <c r="H5" s="19">
        <v>0</v>
      </c>
      <c r="I5" s="20" t="s">
        <v>22</v>
      </c>
      <c r="J5" s="21">
        <v>33.76</v>
      </c>
      <c r="K5" s="11"/>
      <c r="L5" s="24" t="s">
        <v>23</v>
      </c>
      <c r="M5" s="25">
        <v>200</v>
      </c>
      <c r="N5" s="11"/>
      <c r="O5" s="11"/>
    </row>
    <row r="6" spans="1:21" ht="15.75" thickBot="1" x14ac:dyDescent="0.3">
      <c r="A6" s="12"/>
      <c r="B6" s="13"/>
      <c r="C6" s="14" t="s">
        <v>24</v>
      </c>
      <c r="D6" s="15">
        <v>0</v>
      </c>
      <c r="E6" s="16"/>
      <c r="F6" s="17"/>
      <c r="G6" s="18"/>
      <c r="H6" s="19"/>
      <c r="I6" s="20" t="s">
        <v>25</v>
      </c>
      <c r="J6" s="21">
        <v>60</v>
      </c>
      <c r="K6" s="11"/>
      <c r="L6" s="26" t="s">
        <v>26</v>
      </c>
      <c r="M6" s="27">
        <v>200</v>
      </c>
      <c r="N6" s="11"/>
      <c r="O6" s="11"/>
    </row>
    <row r="7" spans="1:21" ht="15.75" thickBot="1" x14ac:dyDescent="0.3">
      <c r="A7" s="12"/>
      <c r="B7" s="13"/>
      <c r="C7" s="14"/>
      <c r="D7" s="15"/>
      <c r="E7" s="16"/>
      <c r="F7" s="17"/>
      <c r="G7" s="18"/>
      <c r="H7" s="19"/>
      <c r="I7" s="20" t="s">
        <v>27</v>
      </c>
      <c r="J7" s="21">
        <v>72.66</v>
      </c>
      <c r="K7" s="11"/>
      <c r="L7" s="11"/>
      <c r="M7" s="11"/>
      <c r="N7" s="11"/>
      <c r="O7" s="11"/>
    </row>
    <row r="8" spans="1:21" x14ac:dyDescent="0.25">
      <c r="A8" s="12"/>
      <c r="B8" s="13"/>
      <c r="C8" s="14"/>
      <c r="D8" s="15"/>
      <c r="E8" s="16"/>
      <c r="F8" s="17"/>
      <c r="G8" s="18"/>
      <c r="H8" s="19"/>
      <c r="I8" s="20" t="s">
        <v>28</v>
      </c>
      <c r="J8" s="21">
        <v>39.24</v>
      </c>
      <c r="K8" s="11"/>
      <c r="L8" s="22"/>
      <c r="M8" s="23" t="s">
        <v>10</v>
      </c>
      <c r="N8" s="11"/>
      <c r="O8" s="11"/>
    </row>
    <row r="9" spans="1:21" x14ac:dyDescent="0.25">
      <c r="A9" s="12"/>
      <c r="B9" s="13"/>
      <c r="C9" s="14"/>
      <c r="D9" s="15"/>
      <c r="E9" s="16"/>
      <c r="F9" s="17"/>
      <c r="G9" s="18"/>
      <c r="H9" s="19"/>
      <c r="I9" s="20" t="s">
        <v>29</v>
      </c>
      <c r="J9" s="21">
        <v>184.78</v>
      </c>
      <c r="K9" s="11"/>
      <c r="L9" s="24"/>
      <c r="M9" s="25" t="s">
        <v>30</v>
      </c>
      <c r="N9" s="11"/>
      <c r="O9" s="11"/>
      <c r="P9" s="28"/>
    </row>
    <row r="10" spans="1:21" x14ac:dyDescent="0.25">
      <c r="A10" s="12"/>
      <c r="B10" s="13"/>
      <c r="C10" s="14"/>
      <c r="D10" s="15"/>
      <c r="E10" s="16"/>
      <c r="F10" s="17"/>
      <c r="G10" s="18"/>
      <c r="H10" s="19"/>
      <c r="I10" s="20" t="s">
        <v>31</v>
      </c>
      <c r="J10" s="21">
        <v>40</v>
      </c>
      <c r="K10" s="11"/>
      <c r="L10" s="24" t="s">
        <v>19</v>
      </c>
      <c r="M10" s="25">
        <v>468</v>
      </c>
      <c r="N10" s="11"/>
      <c r="O10" s="11"/>
    </row>
    <row r="11" spans="1:21" x14ac:dyDescent="0.25">
      <c r="A11" s="12"/>
      <c r="B11" s="13"/>
      <c r="C11" s="14"/>
      <c r="D11" s="15"/>
      <c r="E11" s="16"/>
      <c r="F11" s="17"/>
      <c r="G11" s="18"/>
      <c r="H11" s="19"/>
      <c r="I11" s="20" t="s">
        <v>32</v>
      </c>
      <c r="J11" s="21">
        <v>70</v>
      </c>
      <c r="K11" s="11"/>
      <c r="L11" s="24" t="s">
        <v>23</v>
      </c>
      <c r="M11" s="25">
        <v>468</v>
      </c>
      <c r="N11" s="11"/>
      <c r="O11" s="11"/>
    </row>
    <row r="12" spans="1:21" ht="15.75" thickBot="1" x14ac:dyDescent="0.3">
      <c r="A12" s="12"/>
      <c r="B12" s="13"/>
      <c r="C12" s="14"/>
      <c r="D12" s="15"/>
      <c r="E12" s="16"/>
      <c r="F12" s="17"/>
      <c r="G12" s="18"/>
      <c r="H12" s="19"/>
      <c r="I12" s="20" t="s">
        <v>33</v>
      </c>
      <c r="J12" s="21">
        <v>10.93</v>
      </c>
      <c r="K12" s="11"/>
      <c r="L12" s="26" t="s">
        <v>26</v>
      </c>
      <c r="M12" s="27">
        <v>200</v>
      </c>
      <c r="N12" s="11"/>
      <c r="O12" s="11"/>
    </row>
    <row r="13" spans="1:21" x14ac:dyDescent="0.25">
      <c r="A13" s="12"/>
      <c r="B13" s="13"/>
      <c r="C13" s="14"/>
      <c r="D13" s="15"/>
      <c r="E13" s="16"/>
      <c r="F13" s="17"/>
      <c r="G13" s="18"/>
      <c r="H13" s="19"/>
      <c r="I13" s="29" t="s">
        <v>39</v>
      </c>
      <c r="J13" s="21">
        <v>32</v>
      </c>
      <c r="K13" s="11"/>
      <c r="L13" s="11"/>
      <c r="M13" s="11"/>
      <c r="N13" s="11"/>
      <c r="O13" s="11"/>
    </row>
    <row r="14" spans="1:21" ht="15.75" thickBot="1" x14ac:dyDescent="0.3">
      <c r="A14" s="30"/>
      <c r="B14" s="31"/>
      <c r="C14" s="32"/>
      <c r="D14" s="33"/>
      <c r="E14" s="34"/>
      <c r="F14" s="35"/>
      <c r="G14" s="36"/>
      <c r="H14" s="37"/>
      <c r="I14" s="29"/>
      <c r="J14" s="21"/>
      <c r="K14" s="11"/>
      <c r="L14" s="11"/>
      <c r="O14" s="11"/>
      <c r="R14" s="11"/>
      <c r="S14" s="11"/>
      <c r="T14" s="11"/>
    </row>
    <row r="15" spans="1:21" ht="15.75" thickBot="1" x14ac:dyDescent="0.3">
      <c r="A15" s="38" t="s">
        <v>35</v>
      </c>
      <c r="B15" s="39">
        <f>SUM(B2:B14)</f>
        <v>0</v>
      </c>
      <c r="C15" s="38" t="s">
        <v>34</v>
      </c>
      <c r="D15" s="39">
        <f>SUM(D2:D14)</f>
        <v>4308</v>
      </c>
      <c r="E15" s="38" t="s">
        <v>34</v>
      </c>
      <c r="F15" s="40">
        <f>SUM(F2:F14)</f>
        <v>664.2</v>
      </c>
      <c r="G15" s="38" t="s">
        <v>36</v>
      </c>
      <c r="H15" s="41">
        <f>H2+H3+H4+H5+H6+H7+H8</f>
        <v>0</v>
      </c>
      <c r="I15" s="29" t="s">
        <v>377</v>
      </c>
      <c r="J15" s="21">
        <v>22</v>
      </c>
      <c r="K15" s="11"/>
      <c r="L15" s="11"/>
      <c r="R15" s="11"/>
      <c r="S15" s="11"/>
      <c r="T15" s="11"/>
      <c r="U15" s="28"/>
    </row>
    <row r="16" spans="1:21" ht="15.75" thickBot="1" x14ac:dyDescent="0.3">
      <c r="A16" s="11"/>
      <c r="B16" s="11"/>
      <c r="C16" s="11"/>
      <c r="D16" s="11"/>
      <c r="E16" s="11"/>
      <c r="F16" s="11"/>
      <c r="G16" s="11"/>
      <c r="H16" s="11"/>
      <c r="I16" s="29"/>
      <c r="J16" s="21"/>
      <c r="K16" s="11"/>
      <c r="L16" s="11"/>
      <c r="R16" s="11"/>
      <c r="S16" s="11"/>
      <c r="T16" s="11"/>
    </row>
    <row r="17" spans="1:21" x14ac:dyDescent="0.25">
      <c r="A17" s="42" t="s">
        <v>38</v>
      </c>
      <c r="B17" s="43"/>
      <c r="C17" s="44">
        <f>D15</f>
        <v>4308</v>
      </c>
      <c r="D17" s="45">
        <f>(D15*1.02)+125</f>
        <v>4519.16</v>
      </c>
      <c r="E17" s="45">
        <f>(D17*1.02)+125</f>
        <v>4734.5432000000001</v>
      </c>
      <c r="F17" s="11"/>
      <c r="G17" s="11"/>
      <c r="H17" s="11"/>
      <c r="I17" s="29"/>
      <c r="J17" s="21"/>
      <c r="K17" s="11"/>
      <c r="L17" s="11"/>
      <c r="R17" s="11"/>
      <c r="S17" s="11"/>
      <c r="T17" s="11"/>
    </row>
    <row r="18" spans="1:21" x14ac:dyDescent="0.25">
      <c r="A18" s="46"/>
      <c r="B18" s="47"/>
      <c r="C18" s="48"/>
      <c r="D18" s="49"/>
      <c r="E18" s="49"/>
      <c r="F18" s="11"/>
      <c r="G18" s="11"/>
      <c r="H18" s="11"/>
      <c r="I18" s="29"/>
      <c r="J18" s="21"/>
      <c r="K18" s="11"/>
      <c r="L18" s="11"/>
      <c r="R18" s="11"/>
      <c r="S18" s="11"/>
      <c r="T18" s="11"/>
      <c r="U18" s="28"/>
    </row>
    <row r="19" spans="1:21" x14ac:dyDescent="0.25">
      <c r="A19" s="46" t="s">
        <v>40</v>
      </c>
      <c r="B19" s="47"/>
      <c r="C19" s="48">
        <f>F15+J36+J22</f>
        <v>4086.66</v>
      </c>
      <c r="D19" s="49">
        <f>F15+J36+J22</f>
        <v>4086.66</v>
      </c>
      <c r="E19" s="49">
        <f>F15+J36+J22</f>
        <v>4086.66</v>
      </c>
      <c r="F19" s="11"/>
      <c r="G19" s="11"/>
      <c r="H19" s="11"/>
      <c r="I19" s="29"/>
      <c r="J19" s="21"/>
      <c r="K19" s="11"/>
      <c r="L19" s="21">
        <v>40</v>
      </c>
      <c r="R19" s="11"/>
      <c r="S19" s="11"/>
      <c r="T19" s="11"/>
    </row>
    <row r="20" spans="1:21" x14ac:dyDescent="0.25">
      <c r="A20" s="46"/>
      <c r="B20" s="47"/>
      <c r="C20" s="48"/>
      <c r="D20" s="49"/>
      <c r="E20" s="49"/>
      <c r="F20" s="11"/>
      <c r="G20" s="11"/>
      <c r="H20" s="11"/>
      <c r="I20" s="29"/>
      <c r="J20" s="21"/>
      <c r="L20" s="21">
        <v>70</v>
      </c>
      <c r="R20" s="11"/>
      <c r="S20" s="11"/>
      <c r="T20" s="11"/>
    </row>
    <row r="21" spans="1:21" ht="15.75" thickBot="1" x14ac:dyDescent="0.3">
      <c r="A21" s="50" t="s">
        <v>41</v>
      </c>
      <c r="B21" s="51"/>
      <c r="C21" s="52">
        <f>C17-C19</f>
        <v>221.34000000000015</v>
      </c>
      <c r="D21" s="53">
        <f>D17-D19</f>
        <v>432.5</v>
      </c>
      <c r="E21" s="53">
        <f t="shared" ref="E21" si="0">E17-E19</f>
        <v>647.88320000000022</v>
      </c>
      <c r="F21" s="11"/>
      <c r="G21" s="11" t="s">
        <v>70</v>
      </c>
      <c r="H21" s="11">
        <v>8774</v>
      </c>
      <c r="I21" s="54"/>
      <c r="J21" s="55"/>
      <c r="R21" s="11"/>
      <c r="S21" s="11"/>
      <c r="T21" s="11"/>
      <c r="U21" s="28"/>
    </row>
    <row r="22" spans="1:21" ht="15.75" thickBot="1" x14ac:dyDescent="0.3">
      <c r="A22" s="11"/>
      <c r="B22" s="11"/>
      <c r="C22" s="56"/>
      <c r="D22" s="56"/>
      <c r="E22" s="56"/>
      <c r="F22" s="11"/>
      <c r="G22" s="11"/>
      <c r="H22" s="11"/>
      <c r="I22" s="38" t="s">
        <v>42</v>
      </c>
      <c r="J22" s="57">
        <f>SUM(J2:J21)</f>
        <v>2050.96</v>
      </c>
      <c r="K22" s="11"/>
      <c r="L22" s="11"/>
      <c r="R22" s="11"/>
      <c r="S22" s="11"/>
      <c r="T22" s="11"/>
    </row>
    <row r="23" spans="1:21" ht="15.75" thickBot="1" x14ac:dyDescent="0.3">
      <c r="A23" s="11"/>
      <c r="B23" s="11"/>
      <c r="C23" s="58"/>
      <c r="D23" s="11"/>
      <c r="E23" s="56"/>
      <c r="F23" s="11"/>
      <c r="G23" s="11"/>
      <c r="H23" s="11"/>
      <c r="I23" s="11"/>
      <c r="J23" s="11"/>
      <c r="K23" s="11"/>
      <c r="L23" s="11"/>
      <c r="R23" s="11"/>
      <c r="S23" s="11"/>
      <c r="T23" s="11"/>
    </row>
    <row r="24" spans="1:21" x14ac:dyDescent="0.25">
      <c r="A24" s="59" t="s">
        <v>43</v>
      </c>
      <c r="B24" s="45"/>
      <c r="C24" s="60">
        <v>6219</v>
      </c>
      <c r="D24" s="61">
        <v>6343.38</v>
      </c>
      <c r="E24" s="61">
        <v>6470.2</v>
      </c>
      <c r="F24" s="11"/>
      <c r="G24" s="11"/>
      <c r="H24" s="11"/>
      <c r="I24" s="62" t="s">
        <v>44</v>
      </c>
      <c r="J24" s="63">
        <v>80</v>
      </c>
      <c r="K24" s="11"/>
      <c r="L24" s="11"/>
      <c r="R24" s="11"/>
      <c r="S24" s="11"/>
      <c r="T24" s="11"/>
      <c r="U24" s="28"/>
    </row>
    <row r="25" spans="1:21" x14ac:dyDescent="0.25">
      <c r="A25" s="64" t="s">
        <v>45</v>
      </c>
      <c r="B25" s="49"/>
      <c r="C25" s="65">
        <f>3537.99</f>
        <v>3537.99</v>
      </c>
      <c r="D25" s="64">
        <f>D17</f>
        <v>4519.16</v>
      </c>
      <c r="E25" s="64">
        <f>E17</f>
        <v>4734.5432000000001</v>
      </c>
      <c r="F25" s="11"/>
      <c r="G25" s="11"/>
      <c r="H25" s="11"/>
      <c r="I25" s="66" t="s">
        <v>46</v>
      </c>
      <c r="J25" s="67">
        <v>0</v>
      </c>
      <c r="K25" s="11"/>
      <c r="L25" s="11"/>
      <c r="R25" s="11"/>
      <c r="S25" s="11"/>
      <c r="T25" s="11"/>
    </row>
    <row r="26" spans="1:21" ht="15.75" thickBot="1" x14ac:dyDescent="0.3">
      <c r="A26" s="64" t="s">
        <v>47</v>
      </c>
      <c r="B26" s="49"/>
      <c r="C26" s="65">
        <f>C24-C25</f>
        <v>2681.01</v>
      </c>
      <c r="D26" s="64">
        <f>D24-D25</f>
        <v>1824.2200000000003</v>
      </c>
      <c r="E26" s="64">
        <f t="shared" ref="E26" si="1">E24-E25</f>
        <v>1735.6567999999997</v>
      </c>
      <c r="F26" s="11"/>
      <c r="G26" s="11"/>
      <c r="H26" s="11"/>
      <c r="I26" s="66" t="s">
        <v>48</v>
      </c>
      <c r="J26" s="67">
        <v>600</v>
      </c>
      <c r="K26" s="11"/>
      <c r="L26" s="11"/>
      <c r="R26" s="11"/>
      <c r="S26" s="11"/>
      <c r="T26" s="11"/>
    </row>
    <row r="27" spans="1:21" ht="15.75" thickBot="1" x14ac:dyDescent="0.3">
      <c r="A27" s="68" t="s">
        <v>49</v>
      </c>
      <c r="B27" s="69"/>
      <c r="C27" s="70">
        <v>2539.41</v>
      </c>
      <c r="D27" s="71">
        <v>2700</v>
      </c>
      <c r="E27" s="71">
        <v>2900</v>
      </c>
      <c r="F27" s="56"/>
      <c r="G27" s="56"/>
      <c r="H27" s="56"/>
      <c r="I27" s="150"/>
      <c r="J27" s="151"/>
      <c r="K27" s="11"/>
      <c r="R27" s="11"/>
      <c r="S27" s="11"/>
      <c r="T27" s="11"/>
      <c r="U27" s="28"/>
    </row>
    <row r="28" spans="1:21" ht="15.75" thickBot="1" x14ac:dyDescent="0.3">
      <c r="A28" s="64" t="s">
        <v>50</v>
      </c>
      <c r="B28" s="59"/>
      <c r="C28" s="65"/>
      <c r="D28" s="64">
        <f>D25-$C25</f>
        <v>981.17000000000007</v>
      </c>
      <c r="E28" s="64">
        <f>E25-$D25</f>
        <v>215.38320000000022</v>
      </c>
      <c r="F28" s="56"/>
      <c r="G28" s="56"/>
      <c r="H28" s="56"/>
      <c r="I28" s="152"/>
      <c r="J28" s="153"/>
      <c r="K28" s="11"/>
      <c r="R28" s="11"/>
      <c r="S28" s="11"/>
      <c r="T28" s="11"/>
    </row>
    <row r="29" spans="1:21" ht="15.75" thickBot="1" x14ac:dyDescent="0.3">
      <c r="A29" s="68" t="s">
        <v>51</v>
      </c>
      <c r="B29" s="68"/>
      <c r="C29" s="70">
        <f>D3</f>
        <v>568</v>
      </c>
      <c r="D29" s="70">
        <f>D3</f>
        <v>568</v>
      </c>
      <c r="E29" s="70">
        <f>D3</f>
        <v>568</v>
      </c>
      <c r="F29" s="56"/>
      <c r="G29" s="56"/>
      <c r="H29" s="56"/>
      <c r="I29" s="74"/>
      <c r="J29" s="75"/>
      <c r="K29" s="11">
        <v>214</v>
      </c>
      <c r="L29">
        <v>3</v>
      </c>
      <c r="R29" s="11"/>
      <c r="S29" s="11"/>
      <c r="T29" s="11"/>
    </row>
    <row r="30" spans="1:21" ht="15.75" thickBot="1" x14ac:dyDescent="0.3">
      <c r="A30" s="68" t="s">
        <v>53</v>
      </c>
      <c r="B30" s="68"/>
      <c r="C30" s="70">
        <v>1000</v>
      </c>
      <c r="D30" s="76">
        <v>1000</v>
      </c>
      <c r="E30" s="68">
        <v>1000</v>
      </c>
      <c r="F30" s="56"/>
      <c r="G30" s="56"/>
      <c r="H30" s="56"/>
      <c r="I30" s="74" t="s">
        <v>71</v>
      </c>
      <c r="J30" s="75">
        <f>6.5+5+5</f>
        <v>16.5</v>
      </c>
      <c r="K30" s="11"/>
      <c r="R30" s="11"/>
      <c r="S30" s="11"/>
      <c r="T30" s="11"/>
      <c r="U30" s="28"/>
    </row>
    <row r="31" spans="1:21" ht="15.75" thickBot="1" x14ac:dyDescent="0.3">
      <c r="A31" s="68" t="s">
        <v>54</v>
      </c>
      <c r="B31" s="68"/>
      <c r="C31" s="70">
        <v>605</v>
      </c>
      <c r="D31" s="71">
        <v>605</v>
      </c>
      <c r="E31" s="71">
        <v>605</v>
      </c>
      <c r="F31" s="56"/>
      <c r="G31" s="56"/>
      <c r="H31" s="56"/>
      <c r="I31" s="74" t="s">
        <v>55</v>
      </c>
      <c r="J31" s="75"/>
      <c r="K31" s="11"/>
      <c r="R31" s="11"/>
      <c r="S31" s="11"/>
      <c r="T31" s="11"/>
    </row>
    <row r="32" spans="1:21" ht="15.75" thickBot="1" x14ac:dyDescent="0.3">
      <c r="A32" s="68" t="s">
        <v>56</v>
      </c>
      <c r="B32" s="68"/>
      <c r="C32" s="70">
        <v>77550</v>
      </c>
      <c r="D32" s="70">
        <v>79101</v>
      </c>
      <c r="E32" s="70">
        <v>80683.02</v>
      </c>
      <c r="F32" s="56"/>
      <c r="G32" s="56"/>
      <c r="H32" s="56"/>
      <c r="I32" s="74" t="s">
        <v>57</v>
      </c>
      <c r="J32" s="75">
        <v>500</v>
      </c>
      <c r="K32" s="11">
        <v>500</v>
      </c>
      <c r="R32" s="11"/>
      <c r="S32" s="11"/>
      <c r="T32" s="11"/>
    </row>
    <row r="33" spans="1:21" ht="15.75" thickBot="1" x14ac:dyDescent="0.3">
      <c r="A33" s="68" t="s">
        <v>58</v>
      </c>
      <c r="B33" s="68"/>
      <c r="C33" s="70">
        <v>25708</v>
      </c>
      <c r="D33" s="68">
        <v>26221</v>
      </c>
      <c r="E33" s="68">
        <v>26746</v>
      </c>
      <c r="F33" s="56"/>
      <c r="G33" s="56"/>
      <c r="H33" s="56"/>
      <c r="I33" s="74"/>
      <c r="J33" s="75"/>
      <c r="K33" s="11"/>
      <c r="R33" s="11"/>
      <c r="S33" s="11"/>
      <c r="T33" s="11"/>
      <c r="U33" s="28"/>
    </row>
    <row r="34" spans="1:21" x14ac:dyDescent="0.25">
      <c r="A34" s="59" t="s">
        <v>60</v>
      </c>
      <c r="B34" s="59"/>
      <c r="C34" s="77">
        <f t="shared" ref="C34:E34" si="2">C32</f>
        <v>77550</v>
      </c>
      <c r="D34" s="59">
        <f t="shared" si="2"/>
        <v>79101</v>
      </c>
      <c r="E34" s="59">
        <f t="shared" si="2"/>
        <v>80683.02</v>
      </c>
      <c r="F34" s="56"/>
      <c r="G34" s="56"/>
      <c r="H34" s="56"/>
      <c r="I34" s="74" t="s">
        <v>391</v>
      </c>
      <c r="J34" s="75">
        <v>175</v>
      </c>
      <c r="K34" s="149">
        <f>'[1]JB 2025 December'!$J$34</f>
        <v>384.31666666666666</v>
      </c>
      <c r="R34" s="11"/>
      <c r="S34" s="11"/>
      <c r="T34" s="11"/>
    </row>
    <row r="35" spans="1:21" ht="15.75" thickBot="1" x14ac:dyDescent="0.3">
      <c r="A35" s="64" t="s">
        <v>61</v>
      </c>
      <c r="B35" s="64"/>
      <c r="C35" s="65">
        <f>(J2*12)-(C29*12)</f>
        <v>8257.0799999999981</v>
      </c>
      <c r="D35" s="65">
        <f>J2*12</f>
        <v>15073.079999999998</v>
      </c>
      <c r="E35" s="65">
        <f>J2*12</f>
        <v>15073.079999999998</v>
      </c>
      <c r="F35" s="56"/>
      <c r="G35" s="11"/>
      <c r="H35" s="11"/>
      <c r="I35" s="78"/>
      <c r="J35" s="79"/>
      <c r="K35" s="11"/>
      <c r="R35" s="11"/>
      <c r="S35" s="11"/>
      <c r="T35" s="11"/>
    </row>
    <row r="36" spans="1:21" ht="15.75" thickBot="1" x14ac:dyDescent="0.3">
      <c r="A36" s="80" t="s">
        <v>62</v>
      </c>
      <c r="B36" s="80"/>
      <c r="C36" s="81">
        <f>C32-C33</f>
        <v>51842</v>
      </c>
      <c r="D36" s="81">
        <f t="shared" ref="D36:E36" si="3">D32-D33</f>
        <v>52880</v>
      </c>
      <c r="E36" s="81">
        <f t="shared" si="3"/>
        <v>53937.020000000004</v>
      </c>
      <c r="F36" s="56"/>
      <c r="G36" s="11"/>
      <c r="H36" s="11"/>
      <c r="I36" s="50" t="s">
        <v>42</v>
      </c>
      <c r="J36" s="82">
        <f>SUM(J24:J35)</f>
        <v>1371.5</v>
      </c>
      <c r="K36" s="11"/>
      <c r="R36" s="11"/>
      <c r="S36" s="11"/>
      <c r="T36" s="11"/>
      <c r="U36" s="28"/>
    </row>
    <row r="37" spans="1:21" ht="15.75" thickBot="1" x14ac:dyDescent="0.3">
      <c r="A37" s="11"/>
      <c r="B37" s="11"/>
      <c r="C37" s="11"/>
      <c r="D37" s="11"/>
      <c r="E37" s="11"/>
      <c r="F37" s="56"/>
      <c r="G37" s="11"/>
      <c r="H37" s="11"/>
      <c r="I37" s="38" t="s">
        <v>63</v>
      </c>
      <c r="J37" s="83">
        <f>J22+J36</f>
        <v>3422.46</v>
      </c>
      <c r="K37" s="11"/>
      <c r="L37" s="11"/>
      <c r="M37" s="11"/>
      <c r="N37" s="11"/>
      <c r="R37" s="11"/>
      <c r="S37" s="11"/>
      <c r="T37" s="11"/>
    </row>
    <row r="38" spans="1:21" x14ac:dyDescent="0.25"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21" x14ac:dyDescent="0.25"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21" x14ac:dyDescent="0.25">
      <c r="A40" s="11" t="s">
        <v>386</v>
      </c>
      <c r="B40" s="154"/>
      <c r="C40" s="11">
        <v>7000</v>
      </c>
      <c r="D40" s="11"/>
      <c r="E40" s="11"/>
      <c r="F40" s="11"/>
      <c r="G40" s="11"/>
      <c r="H40" s="11"/>
      <c r="I40" s="11"/>
      <c r="J40" s="11"/>
      <c r="K40" s="11"/>
      <c r="L40" s="11"/>
    </row>
    <row r="41" spans="1:21" x14ac:dyDescent="0.25">
      <c r="A41" s="11" t="s">
        <v>387</v>
      </c>
      <c r="B41" s="155">
        <v>23000</v>
      </c>
      <c r="C41" s="11"/>
      <c r="D41" s="11"/>
      <c r="E41" s="11"/>
      <c r="F41" s="11"/>
      <c r="G41" s="11"/>
      <c r="I41" s="11"/>
      <c r="J41" s="11"/>
      <c r="K41" s="11"/>
      <c r="L41" s="11"/>
    </row>
    <row r="42" spans="1:21" x14ac:dyDescent="0.25">
      <c r="A42" s="11" t="s">
        <v>388</v>
      </c>
      <c r="B42" s="155">
        <v>3500</v>
      </c>
      <c r="C42" s="11" t="s">
        <v>389</v>
      </c>
      <c r="D42" s="11"/>
      <c r="E42" s="11"/>
      <c r="F42" s="11"/>
      <c r="H42" s="11"/>
      <c r="I42" s="11"/>
      <c r="J42" s="11"/>
      <c r="K42" s="11"/>
      <c r="L42" s="11"/>
      <c r="M42" s="11"/>
      <c r="N42" s="11"/>
      <c r="O42" s="11"/>
    </row>
    <row r="43" spans="1:21" x14ac:dyDescent="0.25">
      <c r="A43" s="11" t="s">
        <v>390</v>
      </c>
      <c r="B43" s="155">
        <v>1500</v>
      </c>
      <c r="C43" s="11"/>
      <c r="D43" s="11"/>
      <c r="E43" s="11"/>
      <c r="F43" s="11"/>
      <c r="H43" s="11"/>
      <c r="J43" s="11"/>
      <c r="K43" s="11"/>
      <c r="L43" s="11"/>
      <c r="M43" s="11"/>
      <c r="N43" s="11"/>
      <c r="O43" s="11"/>
    </row>
    <row r="44" spans="1:21" x14ac:dyDescent="0.25">
      <c r="A44" s="11"/>
      <c r="B44" s="155"/>
      <c r="C44" s="11"/>
      <c r="D44" s="11"/>
      <c r="E44" s="11"/>
      <c r="F44" s="11"/>
      <c r="G44" s="11"/>
      <c r="H44" s="11"/>
      <c r="J44" s="11"/>
      <c r="K44" s="11"/>
      <c r="L44" s="11"/>
      <c r="M44" s="11"/>
      <c r="N44" s="11"/>
      <c r="O44" s="11"/>
    </row>
    <row r="45" spans="1:21" x14ac:dyDescent="0.25">
      <c r="A45" s="11"/>
      <c r="B45" s="155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21" x14ac:dyDescent="0.25">
      <c r="A46" s="11"/>
      <c r="B46" s="155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21" x14ac:dyDescent="0.25">
      <c r="A47" s="11"/>
      <c r="B47" s="155"/>
      <c r="C47" s="11"/>
      <c r="D47" s="11"/>
      <c r="E47" s="11"/>
      <c r="F47" s="11"/>
      <c r="G47" s="11"/>
      <c r="H47" s="11"/>
      <c r="I47" s="11"/>
      <c r="J47" s="11"/>
      <c r="L47" s="11"/>
      <c r="M47" s="11"/>
      <c r="N47" s="11"/>
      <c r="O47" s="11"/>
    </row>
    <row r="48" spans="1:21" x14ac:dyDescent="0.25">
      <c r="A48" s="11"/>
      <c r="B48" s="155"/>
      <c r="C48" s="11"/>
      <c r="D48" s="11"/>
      <c r="E48" s="11"/>
      <c r="F48" s="11"/>
      <c r="G48" s="11"/>
      <c r="H48" s="11"/>
      <c r="I48" s="11"/>
      <c r="K48" s="11"/>
      <c r="L48" s="11"/>
      <c r="M48" s="11"/>
      <c r="N48" s="11"/>
      <c r="O48" s="11"/>
    </row>
    <row r="49" spans="1:15" x14ac:dyDescent="0.25">
      <c r="A49" s="11"/>
      <c r="B49" s="155"/>
      <c r="C49" s="11"/>
      <c r="D49" s="11"/>
      <c r="E49" s="11"/>
      <c r="F49" s="11"/>
      <c r="G49" s="11"/>
      <c r="H49" s="11"/>
      <c r="I49" s="11"/>
      <c r="K49" s="11"/>
      <c r="L49" s="11"/>
      <c r="M49" s="11"/>
      <c r="N49" s="11"/>
      <c r="O49" s="11"/>
    </row>
    <row r="50" spans="1:15" x14ac:dyDescent="0.25">
      <c r="A50" s="11"/>
      <c r="B50" s="155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25">
      <c r="A51" s="11"/>
      <c r="B51" s="155"/>
      <c r="C51" s="11"/>
      <c r="D51" s="11"/>
      <c r="E51" s="11"/>
      <c r="F51" s="11"/>
      <c r="G51" s="11"/>
      <c r="I51" s="11"/>
      <c r="J51" s="11"/>
      <c r="K51" s="11"/>
      <c r="L51" s="11"/>
      <c r="M51" s="11"/>
      <c r="N51" s="11"/>
      <c r="O51" s="11"/>
    </row>
    <row r="52" spans="1:15" x14ac:dyDescent="0.25">
      <c r="A52" s="11"/>
      <c r="B52" s="155"/>
      <c r="C52" s="11"/>
      <c r="D52" s="11"/>
      <c r="E52" s="11"/>
      <c r="F52" s="11"/>
      <c r="H52" s="11"/>
      <c r="I52" s="11"/>
      <c r="J52" s="11"/>
      <c r="K52" s="11"/>
      <c r="L52" s="11"/>
      <c r="M52" s="11"/>
      <c r="N52" s="11"/>
      <c r="O52" s="11"/>
    </row>
    <row r="53" spans="1:15" x14ac:dyDescent="0.25">
      <c r="A53" s="11"/>
      <c r="B53" s="156"/>
      <c r="C53" s="11"/>
      <c r="D53" s="11"/>
      <c r="E53" s="11"/>
      <c r="F53" s="11"/>
      <c r="H53" s="11"/>
      <c r="I53" s="11"/>
      <c r="L53" s="11"/>
      <c r="M53" s="11"/>
      <c r="N53" s="11"/>
      <c r="O53" s="11"/>
    </row>
    <row r="54" spans="1:15" x14ac:dyDescent="0.25">
      <c r="A54" s="11" t="s">
        <v>34</v>
      </c>
      <c r="B54" s="157">
        <f>SUM(B40:B52)</f>
        <v>28000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  <c r="M55" s="11"/>
      <c r="N55" s="11"/>
      <c r="O55" s="11"/>
    </row>
    <row r="56" spans="1:15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x14ac:dyDescent="0.25">
      <c r="A57" s="11"/>
      <c r="B57" s="11"/>
      <c r="C57" s="11"/>
      <c r="D57" s="11"/>
      <c r="E57" s="11"/>
      <c r="F57" s="11"/>
      <c r="I57" s="11"/>
      <c r="J57" s="11"/>
      <c r="K57" s="11"/>
      <c r="L57" s="11"/>
      <c r="M57" s="11"/>
      <c r="N57" s="11"/>
      <c r="O57" s="11"/>
    </row>
    <row r="58" spans="1:15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FAA8-493A-4A5F-AA9F-AA92BFA65D17}">
  <dimension ref="A1:V79"/>
  <sheetViews>
    <sheetView topLeftCell="B1" zoomScale="85" zoomScaleNormal="85" workbookViewId="0">
      <selection activeCell="D3" sqref="D3"/>
    </sheetView>
  </sheetViews>
  <sheetFormatPr defaultRowHeight="15" x14ac:dyDescent="0.25"/>
  <cols>
    <col min="1" max="1" width="35.140625" bestFit="1" customWidth="1"/>
    <col min="2" max="2" width="10.140625" bestFit="1" customWidth="1"/>
    <col min="3" max="3" width="17.5703125" bestFit="1" customWidth="1"/>
    <col min="4" max="4" width="9.5703125" bestFit="1" customWidth="1"/>
    <col min="5" max="5" width="12.5703125" bestFit="1" customWidth="1"/>
    <col min="6" max="6" width="7.140625" bestFit="1" customWidth="1"/>
    <col min="7" max="7" width="22.85546875" bestFit="1" customWidth="1"/>
    <col min="8" max="8" width="9.7109375" bestFit="1" customWidth="1"/>
    <col min="9" max="9" width="39.140625" bestFit="1" customWidth="1"/>
    <col min="10" max="10" width="10.5703125" bestFit="1" customWidth="1"/>
    <col min="12" max="12" width="22" customWidth="1"/>
    <col min="13" max="13" width="35.42578125" bestFit="1" customWidth="1"/>
    <col min="14" max="14" width="18" bestFit="1" customWidth="1"/>
    <col min="15" max="15" width="18" customWidth="1"/>
    <col min="16" max="16" width="32.28515625" bestFit="1" customWidth="1"/>
    <col min="17" max="17" width="22.5703125" bestFit="1" customWidth="1"/>
    <col min="19" max="19" width="22.7109375" customWidth="1"/>
    <col min="20" max="20" width="9.42578125" bestFit="1" customWidth="1"/>
  </cols>
  <sheetData>
    <row r="1" spans="1:22" ht="15.75" thickBot="1" x14ac:dyDescent="0.3">
      <c r="A1" s="1" t="s">
        <v>0</v>
      </c>
      <c r="B1" s="2"/>
      <c r="C1" s="3" t="s">
        <v>1</v>
      </c>
      <c r="D1" s="4"/>
      <c r="E1" s="5" t="s">
        <v>2</v>
      </c>
      <c r="F1" s="6"/>
      <c r="G1" s="7" t="s">
        <v>3</v>
      </c>
      <c r="H1" s="8"/>
      <c r="I1" s="9" t="s">
        <v>4</v>
      </c>
      <c r="J1" s="10"/>
      <c r="K1" s="11"/>
      <c r="L1" s="11"/>
      <c r="M1" s="11"/>
      <c r="N1" s="11"/>
      <c r="O1" s="11"/>
      <c r="P1" s="11"/>
    </row>
    <row r="2" spans="1:22" x14ac:dyDescent="0.25">
      <c r="A2" s="12" t="s">
        <v>5</v>
      </c>
      <c r="B2" s="13">
        <v>0</v>
      </c>
      <c r="C2" s="14" t="s">
        <v>6</v>
      </c>
      <c r="D2" s="15">
        <v>3840</v>
      </c>
      <c r="E2" s="16" t="s">
        <v>7</v>
      </c>
      <c r="F2" s="17">
        <v>10</v>
      </c>
      <c r="G2" s="18" t="s">
        <v>8</v>
      </c>
      <c r="H2" s="19">
        <v>0</v>
      </c>
      <c r="I2" s="20" t="s">
        <v>9</v>
      </c>
      <c r="J2" s="21">
        <v>1256.0899999999999</v>
      </c>
      <c r="K2" s="11"/>
      <c r="L2" s="22"/>
      <c r="M2" s="23" t="s">
        <v>10</v>
      </c>
      <c r="N2" s="11"/>
      <c r="O2" s="11"/>
      <c r="Q2" s="11"/>
    </row>
    <row r="3" spans="1:22" x14ac:dyDescent="0.25">
      <c r="A3" s="12" t="s">
        <v>11</v>
      </c>
      <c r="B3" s="13">
        <v>0</v>
      </c>
      <c r="C3" s="14" t="s">
        <v>12</v>
      </c>
      <c r="D3" s="15">
        <v>568</v>
      </c>
      <c r="E3" s="16" t="s">
        <v>380</v>
      </c>
      <c r="F3" s="17">
        <v>10</v>
      </c>
      <c r="G3" s="18" t="s">
        <v>13</v>
      </c>
      <c r="H3" s="19">
        <v>0</v>
      </c>
      <c r="I3" s="20" t="s">
        <v>14</v>
      </c>
      <c r="J3" s="21">
        <v>155</v>
      </c>
      <c r="K3" s="11"/>
      <c r="L3" s="24"/>
      <c r="M3" s="25" t="s">
        <v>15</v>
      </c>
      <c r="N3" s="11"/>
      <c r="O3" s="11"/>
      <c r="Q3" s="11"/>
    </row>
    <row r="4" spans="1:22" x14ac:dyDescent="0.25">
      <c r="A4" s="12"/>
      <c r="B4" s="13"/>
      <c r="C4" s="14" t="s">
        <v>16</v>
      </c>
      <c r="D4" s="15"/>
      <c r="E4" s="16" t="s">
        <v>384</v>
      </c>
      <c r="F4" s="17">
        <v>224.2</v>
      </c>
      <c r="G4" s="18" t="s">
        <v>17</v>
      </c>
      <c r="H4" s="19">
        <v>0</v>
      </c>
      <c r="I4" s="20" t="s">
        <v>18</v>
      </c>
      <c r="J4" s="21">
        <v>42.5</v>
      </c>
      <c r="K4" s="11"/>
      <c r="L4" s="24" t="s">
        <v>19</v>
      </c>
      <c r="M4" s="25">
        <v>259</v>
      </c>
      <c r="N4" s="11"/>
      <c r="O4" s="11"/>
      <c r="P4" s="11"/>
    </row>
    <row r="5" spans="1:22" x14ac:dyDescent="0.25">
      <c r="A5" s="12"/>
      <c r="B5" s="13"/>
      <c r="C5" s="14" t="s">
        <v>20</v>
      </c>
      <c r="D5" s="15"/>
      <c r="E5" s="16" t="s">
        <v>385</v>
      </c>
      <c r="F5" s="17">
        <v>420</v>
      </c>
      <c r="G5" s="18" t="s">
        <v>21</v>
      </c>
      <c r="H5" s="19">
        <v>0</v>
      </c>
      <c r="I5" s="20" t="s">
        <v>22</v>
      </c>
      <c r="J5" s="21">
        <v>33.76</v>
      </c>
      <c r="K5" s="11"/>
      <c r="L5" s="24" t="s">
        <v>23</v>
      </c>
      <c r="M5" s="25">
        <v>200</v>
      </c>
      <c r="N5" s="11"/>
      <c r="O5" s="11"/>
      <c r="P5" s="11"/>
    </row>
    <row r="6" spans="1:22" ht="15.75" thickBot="1" x14ac:dyDescent="0.3">
      <c r="A6" s="12"/>
      <c r="B6" s="13"/>
      <c r="C6" s="14" t="s">
        <v>24</v>
      </c>
      <c r="D6" s="15">
        <v>0</v>
      </c>
      <c r="E6" s="16"/>
      <c r="F6" s="17"/>
      <c r="G6" s="18"/>
      <c r="H6" s="19"/>
      <c r="I6" s="20" t="s">
        <v>25</v>
      </c>
      <c r="J6" s="21">
        <v>60</v>
      </c>
      <c r="K6" s="11"/>
      <c r="L6" s="26" t="s">
        <v>26</v>
      </c>
      <c r="M6" s="27">
        <v>200</v>
      </c>
      <c r="N6" s="11"/>
      <c r="O6" s="11"/>
      <c r="P6" s="11"/>
    </row>
    <row r="7" spans="1:22" ht="15.75" thickBot="1" x14ac:dyDescent="0.3">
      <c r="A7" s="12"/>
      <c r="B7" s="13"/>
      <c r="C7" s="14"/>
      <c r="D7" s="15"/>
      <c r="E7" s="16"/>
      <c r="F7" s="17"/>
      <c r="G7" s="18"/>
      <c r="H7" s="19"/>
      <c r="I7" s="20" t="s">
        <v>27</v>
      </c>
      <c r="J7" s="21">
        <v>72.66</v>
      </c>
      <c r="K7" s="11"/>
      <c r="L7" s="11"/>
      <c r="M7" s="11"/>
      <c r="N7" s="11"/>
      <c r="O7" s="11"/>
      <c r="P7" s="11"/>
    </row>
    <row r="8" spans="1:22" x14ac:dyDescent="0.25">
      <c r="A8" s="12"/>
      <c r="B8" s="13"/>
      <c r="C8" s="14"/>
      <c r="D8" s="15"/>
      <c r="E8" s="16"/>
      <c r="F8" s="17"/>
      <c r="G8" s="18"/>
      <c r="H8" s="19"/>
      <c r="I8" s="20" t="s">
        <v>28</v>
      </c>
      <c r="J8" s="21">
        <v>39.24</v>
      </c>
      <c r="K8" s="11"/>
      <c r="L8" s="22"/>
      <c r="M8" s="23" t="s">
        <v>10</v>
      </c>
      <c r="N8" s="11"/>
      <c r="O8" s="11"/>
      <c r="P8" s="11"/>
    </row>
    <row r="9" spans="1:22" x14ac:dyDescent="0.25">
      <c r="A9" s="12"/>
      <c r="B9" s="13"/>
      <c r="C9" s="14"/>
      <c r="D9" s="15"/>
      <c r="E9" s="16"/>
      <c r="F9" s="17"/>
      <c r="G9" s="18"/>
      <c r="H9" s="19"/>
      <c r="I9" s="20" t="s">
        <v>29</v>
      </c>
      <c r="J9" s="21">
        <v>184.78</v>
      </c>
      <c r="K9" s="11"/>
      <c r="L9" s="24"/>
      <c r="M9" s="25" t="s">
        <v>30</v>
      </c>
      <c r="N9" s="11"/>
      <c r="O9" s="11"/>
      <c r="P9" s="11"/>
      <c r="Q9" s="28"/>
    </row>
    <row r="10" spans="1:22" x14ac:dyDescent="0.25">
      <c r="A10" s="12"/>
      <c r="B10" s="13"/>
      <c r="C10" s="14"/>
      <c r="D10" s="15"/>
      <c r="E10" s="16"/>
      <c r="F10" s="17"/>
      <c r="G10" s="18"/>
      <c r="H10" s="19"/>
      <c r="I10" s="20" t="s">
        <v>31</v>
      </c>
      <c r="J10" s="21">
        <v>40</v>
      </c>
      <c r="K10" s="11"/>
      <c r="L10" s="24" t="s">
        <v>19</v>
      </c>
      <c r="M10" s="25">
        <v>468</v>
      </c>
      <c r="N10" s="11"/>
      <c r="O10" s="11"/>
      <c r="P10" s="11"/>
    </row>
    <row r="11" spans="1:22" x14ac:dyDescent="0.25">
      <c r="A11" s="12"/>
      <c r="B11" s="13"/>
      <c r="C11" s="14"/>
      <c r="D11" s="15"/>
      <c r="E11" s="16"/>
      <c r="F11" s="17"/>
      <c r="G11" s="18"/>
      <c r="H11" s="19"/>
      <c r="I11" s="20" t="s">
        <v>32</v>
      </c>
      <c r="J11" s="21">
        <v>70</v>
      </c>
      <c r="K11" s="11"/>
      <c r="L11" s="24" t="s">
        <v>23</v>
      </c>
      <c r="M11" s="25">
        <v>468</v>
      </c>
      <c r="N11" s="11"/>
      <c r="O11" s="11"/>
      <c r="P11" s="11"/>
    </row>
    <row r="12" spans="1:22" ht="15.75" thickBot="1" x14ac:dyDescent="0.3">
      <c r="A12" s="12"/>
      <c r="B12" s="13"/>
      <c r="C12" s="14"/>
      <c r="D12" s="15"/>
      <c r="E12" s="16"/>
      <c r="F12" s="17"/>
      <c r="G12" s="18"/>
      <c r="H12" s="19"/>
      <c r="I12" s="20" t="s">
        <v>33</v>
      </c>
      <c r="J12" s="21">
        <v>10.93</v>
      </c>
      <c r="K12" s="11"/>
      <c r="L12" s="26" t="s">
        <v>26</v>
      </c>
      <c r="M12" s="27">
        <v>200</v>
      </c>
      <c r="N12" s="11"/>
      <c r="O12" s="11"/>
      <c r="P12" s="11"/>
    </row>
    <row r="13" spans="1:22" x14ac:dyDescent="0.25">
      <c r="A13" s="12"/>
      <c r="B13" s="13"/>
      <c r="C13" s="14"/>
      <c r="D13" s="15"/>
      <c r="E13" s="16"/>
      <c r="F13" s="17"/>
      <c r="G13" s="18"/>
      <c r="H13" s="19"/>
      <c r="I13" s="29" t="s">
        <v>39</v>
      </c>
      <c r="J13" s="21">
        <v>32</v>
      </c>
      <c r="K13" s="11"/>
      <c r="L13" s="11"/>
      <c r="M13" s="11"/>
      <c r="N13" s="11"/>
      <c r="O13" s="11"/>
      <c r="P13" s="11"/>
    </row>
    <row r="14" spans="1:22" ht="15.75" thickBot="1" x14ac:dyDescent="0.3">
      <c r="A14" s="30"/>
      <c r="B14" s="31"/>
      <c r="C14" s="32"/>
      <c r="D14" s="33"/>
      <c r="E14" s="34"/>
      <c r="F14" s="35"/>
      <c r="G14" s="36"/>
      <c r="H14" s="37"/>
      <c r="I14" s="29"/>
      <c r="J14" s="21"/>
      <c r="K14" s="11"/>
      <c r="L14" s="11"/>
      <c r="P14" s="11"/>
      <c r="S14" s="11"/>
      <c r="T14" s="11"/>
      <c r="U14" s="11"/>
    </row>
    <row r="15" spans="1:22" ht="15.75" thickBot="1" x14ac:dyDescent="0.3">
      <c r="A15" s="38" t="s">
        <v>35</v>
      </c>
      <c r="B15" s="39">
        <f>SUM(B2:B14)</f>
        <v>0</v>
      </c>
      <c r="C15" s="38" t="s">
        <v>34</v>
      </c>
      <c r="D15" s="39">
        <f>SUM(D2:D14)</f>
        <v>4408</v>
      </c>
      <c r="E15" s="38" t="s">
        <v>34</v>
      </c>
      <c r="F15" s="40">
        <f>SUM(F2:F14)</f>
        <v>664.2</v>
      </c>
      <c r="G15" s="38" t="s">
        <v>36</v>
      </c>
      <c r="H15" s="41">
        <f>H2+H3+H4+H5+H6+H7+H8</f>
        <v>0</v>
      </c>
      <c r="I15" s="29" t="s">
        <v>377</v>
      </c>
      <c r="J15" s="21">
        <v>22</v>
      </c>
      <c r="K15" s="11"/>
      <c r="L15" s="11"/>
      <c r="S15" s="11"/>
      <c r="T15" s="11"/>
      <c r="U15" s="11"/>
      <c r="V15" s="28"/>
    </row>
    <row r="16" spans="1:22" ht="15.75" thickBot="1" x14ac:dyDescent="0.3">
      <c r="A16" s="11"/>
      <c r="B16" s="11"/>
      <c r="C16" s="11"/>
      <c r="D16" s="11"/>
      <c r="E16" s="11"/>
      <c r="F16" s="11"/>
      <c r="G16" s="11"/>
      <c r="H16" s="11"/>
      <c r="I16" s="29"/>
      <c r="J16" s="21">
        <v>180</v>
      </c>
      <c r="K16" s="11"/>
      <c r="L16" s="11"/>
      <c r="S16" s="11"/>
      <c r="T16" s="11"/>
      <c r="U16" s="11"/>
    </row>
    <row r="17" spans="1:22" x14ac:dyDescent="0.25">
      <c r="A17" s="42" t="s">
        <v>38</v>
      </c>
      <c r="B17" s="43"/>
      <c r="C17" s="44">
        <f>D15</f>
        <v>4408</v>
      </c>
      <c r="D17" s="45">
        <f>(D15*1.02)+125</f>
        <v>4621.16</v>
      </c>
      <c r="E17" s="45">
        <f>(D17*1.02)+125</f>
        <v>4838.5832</v>
      </c>
      <c r="F17" s="11"/>
      <c r="G17" s="11"/>
      <c r="H17" s="11"/>
      <c r="I17" s="29"/>
      <c r="J17" s="21"/>
      <c r="K17" s="11"/>
      <c r="L17" s="11"/>
      <c r="S17" s="11"/>
      <c r="T17" s="11"/>
      <c r="U17" s="11"/>
    </row>
    <row r="18" spans="1:22" x14ac:dyDescent="0.25">
      <c r="A18" s="46"/>
      <c r="B18" s="47"/>
      <c r="C18" s="48"/>
      <c r="D18" s="49"/>
      <c r="E18" s="49"/>
      <c r="F18" s="11"/>
      <c r="G18" s="11"/>
      <c r="H18" s="11"/>
      <c r="I18" s="29"/>
      <c r="J18" s="21"/>
      <c r="K18" s="11"/>
      <c r="L18" s="11"/>
      <c r="S18" s="11"/>
      <c r="T18" s="11"/>
      <c r="U18" s="11"/>
      <c r="V18" s="28"/>
    </row>
    <row r="19" spans="1:22" x14ac:dyDescent="0.25">
      <c r="A19" s="46" t="s">
        <v>40</v>
      </c>
      <c r="B19" s="47"/>
      <c r="C19" s="48">
        <f>F15+J36+J22</f>
        <v>3784.66</v>
      </c>
      <c r="D19" s="49">
        <f>F15+J36+J22</f>
        <v>3784.66</v>
      </c>
      <c r="E19" s="49">
        <f>F15+J36+J22</f>
        <v>3784.66</v>
      </c>
      <c r="F19" s="11"/>
      <c r="G19" s="11"/>
      <c r="H19" s="11"/>
      <c r="I19" s="29"/>
      <c r="J19" s="21"/>
      <c r="K19" s="11"/>
      <c r="L19" s="21">
        <v>40</v>
      </c>
      <c r="S19" s="11"/>
      <c r="T19" s="11"/>
      <c r="U19" s="11"/>
    </row>
    <row r="20" spans="1:22" x14ac:dyDescent="0.25">
      <c r="A20" s="46"/>
      <c r="B20" s="47"/>
      <c r="C20" s="48"/>
      <c r="D20" s="49"/>
      <c r="E20" s="49"/>
      <c r="F20" s="11"/>
      <c r="G20" s="11"/>
      <c r="H20" s="11"/>
      <c r="I20" s="29"/>
      <c r="J20" s="21"/>
      <c r="L20" s="21">
        <v>70</v>
      </c>
      <c r="S20" s="11"/>
      <c r="T20" s="11"/>
      <c r="U20" s="11"/>
    </row>
    <row r="21" spans="1:22" ht="15.75" thickBot="1" x14ac:dyDescent="0.3">
      <c r="A21" s="50" t="s">
        <v>41</v>
      </c>
      <c r="B21" s="51"/>
      <c r="C21" s="52">
        <f>C17-C19</f>
        <v>623.34000000000015</v>
      </c>
      <c r="D21" s="53">
        <f>D17-D19</f>
        <v>836.5</v>
      </c>
      <c r="E21" s="53">
        <f t="shared" ref="E21" si="0">E17-E19</f>
        <v>1053.9232000000002</v>
      </c>
      <c r="F21" s="11"/>
      <c r="G21" s="11" t="s">
        <v>70</v>
      </c>
      <c r="H21" s="11">
        <v>8774</v>
      </c>
      <c r="I21" s="54"/>
      <c r="J21" s="55"/>
      <c r="S21" s="11"/>
      <c r="T21" s="11"/>
      <c r="U21" s="11"/>
      <c r="V21" s="28"/>
    </row>
    <row r="22" spans="1:22" ht="15.75" thickBot="1" x14ac:dyDescent="0.3">
      <c r="A22" s="11"/>
      <c r="B22" s="11"/>
      <c r="C22" s="56"/>
      <c r="D22" s="56"/>
      <c r="E22" s="56"/>
      <c r="F22" s="11"/>
      <c r="G22" s="11"/>
      <c r="H22" s="11"/>
      <c r="I22" s="38" t="s">
        <v>42</v>
      </c>
      <c r="J22" s="57">
        <f>SUM(J2:J21)</f>
        <v>2198.96</v>
      </c>
      <c r="K22" s="11"/>
      <c r="L22" s="11"/>
      <c r="S22" s="11"/>
      <c r="T22" s="11"/>
      <c r="U22" s="11"/>
    </row>
    <row r="23" spans="1:22" ht="15.75" thickBot="1" x14ac:dyDescent="0.3">
      <c r="A23" s="11"/>
      <c r="B23" s="11"/>
      <c r="C23" s="58"/>
      <c r="D23" s="11"/>
      <c r="E23" s="56"/>
      <c r="F23" s="11"/>
      <c r="G23" s="11"/>
      <c r="H23" s="11"/>
      <c r="I23" s="11"/>
      <c r="J23" s="11"/>
      <c r="K23" s="11"/>
      <c r="L23" s="11"/>
      <c r="S23" s="11"/>
      <c r="T23" s="11"/>
      <c r="U23" s="11"/>
    </row>
    <row r="24" spans="1:22" ht="15.75" thickBot="1" x14ac:dyDescent="0.3">
      <c r="A24" s="59" t="s">
        <v>43</v>
      </c>
      <c r="B24" s="45"/>
      <c r="C24" s="60">
        <v>6219</v>
      </c>
      <c r="D24" s="61">
        <v>6343.38</v>
      </c>
      <c r="E24" s="61">
        <v>6470.2</v>
      </c>
      <c r="F24" s="11"/>
      <c r="G24" s="11"/>
      <c r="H24" s="11"/>
      <c r="I24" s="62" t="s">
        <v>44</v>
      </c>
      <c r="J24" s="63">
        <v>80</v>
      </c>
      <c r="K24" s="11"/>
      <c r="L24" s="212" t="s">
        <v>477</v>
      </c>
      <c r="M24" s="104" t="s">
        <v>479</v>
      </c>
      <c r="N24" s="213" t="s">
        <v>476</v>
      </c>
      <c r="O24" s="213" t="s">
        <v>481</v>
      </c>
      <c r="P24" s="93" t="s">
        <v>480</v>
      </c>
      <c r="Q24" s="92" t="s">
        <v>478</v>
      </c>
      <c r="S24" s="11"/>
      <c r="T24" s="11"/>
      <c r="U24" s="11"/>
      <c r="V24" s="28"/>
    </row>
    <row r="25" spans="1:22" x14ac:dyDescent="0.25">
      <c r="A25" s="64" t="s">
        <v>45</v>
      </c>
      <c r="B25" s="49"/>
      <c r="C25" s="65">
        <f>3537.99</f>
        <v>3537.99</v>
      </c>
      <c r="D25" s="64">
        <f>D17</f>
        <v>4621.16</v>
      </c>
      <c r="E25" s="64">
        <f>E17</f>
        <v>4838.5832</v>
      </c>
      <c r="F25" s="11"/>
      <c r="G25" s="11"/>
      <c r="H25" s="11"/>
      <c r="I25" s="66" t="s">
        <v>46</v>
      </c>
      <c r="J25" s="67">
        <v>0</v>
      </c>
      <c r="K25" s="11"/>
      <c r="L25" s="140">
        <v>5851</v>
      </c>
      <c r="M25" s="93">
        <f>L25-L25</f>
        <v>0</v>
      </c>
      <c r="N25" s="217">
        <v>3730</v>
      </c>
      <c r="O25" s="217">
        <f>N25</f>
        <v>3730</v>
      </c>
      <c r="P25" s="93">
        <f>N25-N25</f>
        <v>0</v>
      </c>
      <c r="Q25" s="92">
        <v>0</v>
      </c>
      <c r="S25" s="11"/>
      <c r="T25" s="11"/>
      <c r="U25" s="11"/>
    </row>
    <row r="26" spans="1:22" ht="15.75" thickBot="1" x14ac:dyDescent="0.3">
      <c r="A26" s="64" t="s">
        <v>47</v>
      </c>
      <c r="B26" s="49"/>
      <c r="C26" s="65">
        <f>C24-C25</f>
        <v>2681.01</v>
      </c>
      <c r="D26" s="64">
        <f>D24-D25</f>
        <v>1722.2200000000003</v>
      </c>
      <c r="E26" s="64">
        <f t="shared" ref="E26" si="1">E24-E25</f>
        <v>1631.6167999999998</v>
      </c>
      <c r="F26" s="11"/>
      <c r="G26" s="11"/>
      <c r="H26" s="11"/>
      <c r="I26" s="66" t="s">
        <v>48</v>
      </c>
      <c r="J26" s="67">
        <v>600</v>
      </c>
      <c r="K26" s="11"/>
      <c r="L26" s="214">
        <v>5963</v>
      </c>
      <c r="M26" s="28">
        <f>L26-L25</f>
        <v>112</v>
      </c>
      <c r="N26" s="56">
        <v>3819</v>
      </c>
      <c r="O26" s="56">
        <f>N26</f>
        <v>3819</v>
      </c>
      <c r="P26" s="28">
        <f>N26-N25</f>
        <v>89</v>
      </c>
      <c r="Q26" s="143">
        <f>N26-N25</f>
        <v>89</v>
      </c>
      <c r="S26" s="11"/>
      <c r="T26" s="11"/>
      <c r="U26" s="11"/>
    </row>
    <row r="27" spans="1:22" ht="15.75" thickBot="1" x14ac:dyDescent="0.3">
      <c r="A27" s="68" t="s">
        <v>49</v>
      </c>
      <c r="B27" s="69"/>
      <c r="C27" s="70">
        <v>2539.41</v>
      </c>
      <c r="D27" s="71">
        <v>2700</v>
      </c>
      <c r="E27" s="71">
        <v>2900</v>
      </c>
      <c r="F27" s="56"/>
      <c r="I27" s="150"/>
      <c r="J27" s="151"/>
      <c r="K27" s="11"/>
      <c r="L27" s="214">
        <v>6500</v>
      </c>
      <c r="M27" s="28">
        <f>L27-L26</f>
        <v>537</v>
      </c>
      <c r="N27" s="56">
        <v>4151</v>
      </c>
      <c r="O27" s="56">
        <f>N27-50</f>
        <v>4101</v>
      </c>
      <c r="P27" s="28">
        <f>N27-N26</f>
        <v>332</v>
      </c>
      <c r="Q27" s="143">
        <f>N27-N26</f>
        <v>332</v>
      </c>
      <c r="S27" s="11"/>
      <c r="T27" s="11"/>
      <c r="U27" s="11"/>
      <c r="V27" s="28"/>
    </row>
    <row r="28" spans="1:22" ht="15.75" thickBot="1" x14ac:dyDescent="0.3">
      <c r="A28" s="64" t="s">
        <v>50</v>
      </c>
      <c r="B28" s="59"/>
      <c r="C28" s="65"/>
      <c r="D28" s="64">
        <f>D25-$C25</f>
        <v>1083.17</v>
      </c>
      <c r="E28" s="64">
        <f>E25-$D25</f>
        <v>217.42320000000018</v>
      </c>
      <c r="F28" s="56"/>
      <c r="I28" s="152"/>
      <c r="J28" s="153"/>
      <c r="K28" s="11"/>
      <c r="L28" s="100">
        <v>7000</v>
      </c>
      <c r="M28" s="28">
        <f>L28-L26</f>
        <v>1037</v>
      </c>
      <c r="N28" s="28">
        <v>4369</v>
      </c>
      <c r="O28" s="28">
        <f>N28-70</f>
        <v>4299</v>
      </c>
      <c r="P28" s="28">
        <f>N28-N27</f>
        <v>218</v>
      </c>
      <c r="Q28" s="143">
        <f>N28-N26</f>
        <v>550</v>
      </c>
      <c r="S28" s="11"/>
      <c r="T28" s="11"/>
      <c r="U28" s="11"/>
    </row>
    <row r="29" spans="1:22" ht="15.75" thickBot="1" x14ac:dyDescent="0.3">
      <c r="A29" s="68" t="s">
        <v>51</v>
      </c>
      <c r="B29" s="68"/>
      <c r="C29" s="70">
        <f>D3</f>
        <v>568</v>
      </c>
      <c r="D29" s="70">
        <f>D3</f>
        <v>568</v>
      </c>
      <c r="E29" s="70">
        <f>D3</f>
        <v>568</v>
      </c>
      <c r="F29" s="56"/>
      <c r="I29" s="74"/>
      <c r="J29" s="75">
        <v>225</v>
      </c>
      <c r="K29" s="11">
        <v>214</v>
      </c>
      <c r="L29" s="215">
        <v>7500</v>
      </c>
      <c r="M29" s="207">
        <f>L29-L26</f>
        <v>1537</v>
      </c>
      <c r="N29" s="216">
        <v>4589</v>
      </c>
      <c r="O29" s="216">
        <f>N29-100</f>
        <v>4489</v>
      </c>
      <c r="P29" s="207">
        <f>N29-N28</f>
        <v>220</v>
      </c>
      <c r="Q29" s="144">
        <f>N29-N26</f>
        <v>770</v>
      </c>
      <c r="S29" s="11"/>
      <c r="T29" s="11"/>
      <c r="U29" s="11"/>
    </row>
    <row r="30" spans="1:22" ht="15.75" thickBot="1" x14ac:dyDescent="0.3">
      <c r="A30" s="68" t="s">
        <v>53</v>
      </c>
      <c r="B30" s="68"/>
      <c r="C30" s="70">
        <v>1000</v>
      </c>
      <c r="D30" s="76">
        <v>1000</v>
      </c>
      <c r="E30" s="68">
        <v>1000</v>
      </c>
      <c r="F30" s="56"/>
      <c r="I30" s="74" t="s">
        <v>71</v>
      </c>
      <c r="J30" s="75">
        <f>6.5+5+5</f>
        <v>16.5</v>
      </c>
      <c r="K30" s="11"/>
      <c r="S30" s="11"/>
      <c r="T30" s="11"/>
      <c r="U30" s="11"/>
      <c r="V30" s="28"/>
    </row>
    <row r="31" spans="1:22" ht="15.75" thickBot="1" x14ac:dyDescent="0.3">
      <c r="A31" s="68" t="s">
        <v>54</v>
      </c>
      <c r="B31" s="68"/>
      <c r="C31" s="70">
        <v>605</v>
      </c>
      <c r="D31" s="71">
        <v>605</v>
      </c>
      <c r="E31" s="71">
        <v>605</v>
      </c>
      <c r="F31" s="56"/>
      <c r="G31" s="56"/>
      <c r="H31" s="56"/>
      <c r="I31" s="74" t="s">
        <v>55</v>
      </c>
      <c r="J31" s="75"/>
      <c r="K31" s="11"/>
      <c r="S31" s="11"/>
      <c r="T31" s="11"/>
      <c r="U31" s="11"/>
    </row>
    <row r="32" spans="1:22" ht="15.75" thickBot="1" x14ac:dyDescent="0.3">
      <c r="A32" s="68" t="s">
        <v>56</v>
      </c>
      <c r="B32" s="68"/>
      <c r="C32" s="70">
        <v>77550</v>
      </c>
      <c r="D32" s="70">
        <v>79101</v>
      </c>
      <c r="E32" s="70">
        <v>80683.02</v>
      </c>
      <c r="F32" s="56"/>
      <c r="G32" s="56"/>
      <c r="H32" s="56"/>
      <c r="I32" s="74" t="s">
        <v>57</v>
      </c>
      <c r="J32" s="75"/>
      <c r="K32" s="11">
        <v>500</v>
      </c>
      <c r="S32" s="11"/>
      <c r="T32" s="11"/>
      <c r="U32" s="11"/>
    </row>
    <row r="33" spans="1:22" ht="15.75" thickBot="1" x14ac:dyDescent="0.3">
      <c r="A33" s="68" t="s">
        <v>58</v>
      </c>
      <c r="B33" s="68"/>
      <c r="C33" s="70">
        <v>25708</v>
      </c>
      <c r="D33" s="68">
        <v>26221</v>
      </c>
      <c r="E33" s="68">
        <v>26746</v>
      </c>
      <c r="F33" s="56"/>
      <c r="G33" s="56"/>
      <c r="H33" s="56"/>
      <c r="I33" s="74"/>
      <c r="J33" s="75"/>
      <c r="K33" s="11"/>
      <c r="S33" s="11"/>
      <c r="T33" s="11"/>
      <c r="U33" s="11"/>
      <c r="V33" s="28"/>
    </row>
    <row r="34" spans="1:22" x14ac:dyDescent="0.25">
      <c r="A34" s="59" t="s">
        <v>60</v>
      </c>
      <c r="B34" s="59"/>
      <c r="C34" s="77">
        <f t="shared" ref="C34:E34" si="2">C32</f>
        <v>77550</v>
      </c>
      <c r="D34" s="59">
        <f t="shared" si="2"/>
        <v>79101</v>
      </c>
      <c r="E34" s="59">
        <f t="shared" si="2"/>
        <v>80683.02</v>
      </c>
      <c r="F34" s="56"/>
      <c r="G34" s="56"/>
      <c r="H34" s="56"/>
      <c r="I34" s="74"/>
      <c r="J34" s="75"/>
      <c r="K34" s="149">
        <f>'[1]JB 2025 December'!$J$34</f>
        <v>384.31666666666666</v>
      </c>
      <c r="S34" s="11"/>
      <c r="T34" s="11"/>
      <c r="U34" s="11"/>
    </row>
    <row r="35" spans="1:22" ht="15.75" thickBot="1" x14ac:dyDescent="0.3">
      <c r="A35" s="64" t="s">
        <v>61</v>
      </c>
      <c r="B35" s="64"/>
      <c r="C35" s="65">
        <f>(J2*12)-(C29*12)</f>
        <v>8257.0799999999981</v>
      </c>
      <c r="D35" s="65">
        <f>J2*12</f>
        <v>15073.079999999998</v>
      </c>
      <c r="E35" s="65">
        <f>J2*12</f>
        <v>15073.079999999998</v>
      </c>
      <c r="F35" s="56"/>
      <c r="G35" s="11"/>
      <c r="H35" s="11"/>
      <c r="I35" s="78"/>
      <c r="J35" s="79"/>
      <c r="K35" s="11"/>
      <c r="S35" s="11"/>
      <c r="T35" s="11"/>
      <c r="U35" s="11"/>
    </row>
    <row r="36" spans="1:22" ht="15.75" thickBot="1" x14ac:dyDescent="0.3">
      <c r="A36" s="80" t="s">
        <v>62</v>
      </c>
      <c r="B36" s="80"/>
      <c r="C36" s="81">
        <f>C32-C33</f>
        <v>51842</v>
      </c>
      <c r="D36" s="81">
        <f t="shared" ref="D36:E36" si="3">D32-D33</f>
        <v>52880</v>
      </c>
      <c r="E36" s="81">
        <f t="shared" si="3"/>
        <v>53937.020000000004</v>
      </c>
      <c r="F36" s="56"/>
      <c r="G36" s="11"/>
      <c r="H36" s="11"/>
      <c r="I36" s="50" t="s">
        <v>42</v>
      </c>
      <c r="J36" s="82">
        <f>SUM(J24:J35)</f>
        <v>921.5</v>
      </c>
      <c r="K36" s="11"/>
      <c r="S36" s="11"/>
      <c r="T36" s="11"/>
      <c r="U36" s="11"/>
      <c r="V36" s="28"/>
    </row>
    <row r="37" spans="1:22" ht="15.75" thickBot="1" x14ac:dyDescent="0.3">
      <c r="A37" s="11"/>
      <c r="B37" s="11"/>
      <c r="C37" s="11"/>
      <c r="D37" s="11"/>
      <c r="E37" s="11"/>
      <c r="F37" s="56"/>
      <c r="G37" s="11"/>
      <c r="H37" s="11"/>
      <c r="I37" s="38" t="s">
        <v>63</v>
      </c>
      <c r="J37" s="83">
        <f>J22+J36</f>
        <v>3120.46</v>
      </c>
      <c r="K37" s="11"/>
      <c r="L37" s="11"/>
      <c r="M37" s="11"/>
      <c r="N37" s="11"/>
      <c r="O37" s="11"/>
      <c r="S37" s="11"/>
      <c r="T37" s="11"/>
      <c r="U37" s="11"/>
    </row>
    <row r="38" spans="1:22" x14ac:dyDescent="0.25"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22" ht="15.75" thickBot="1" x14ac:dyDescent="0.3"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22" x14ac:dyDescent="0.25">
      <c r="A40" s="59" t="s">
        <v>43</v>
      </c>
      <c r="B40" s="60">
        <f>C24</f>
        <v>6219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22" x14ac:dyDescent="0.25">
      <c r="A41" s="64" t="s">
        <v>45</v>
      </c>
      <c r="B41" s="65">
        <f>C24*0.5998</f>
        <v>3730.1561999999999</v>
      </c>
      <c r="C41" s="11"/>
      <c r="D41" s="11"/>
      <c r="E41" s="11"/>
      <c r="F41" s="11"/>
      <c r="G41" s="11"/>
      <c r="I41" s="11"/>
      <c r="J41" s="11"/>
      <c r="K41" s="11"/>
      <c r="L41" s="11"/>
    </row>
    <row r="42" spans="1:22" ht="15.75" thickBot="1" x14ac:dyDescent="0.3">
      <c r="A42" s="64" t="s">
        <v>47</v>
      </c>
      <c r="B42" s="65">
        <f>B40-B41</f>
        <v>2488.8438000000001</v>
      </c>
      <c r="C42" s="11"/>
      <c r="D42" s="11"/>
      <c r="E42" s="11"/>
      <c r="F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1:22" ht="15.75" thickBot="1" x14ac:dyDescent="0.3">
      <c r="A43" s="68" t="s">
        <v>64</v>
      </c>
      <c r="B43" s="70">
        <f>((B40-B47)*12)/100*8</f>
        <v>5389.44</v>
      </c>
      <c r="C43" s="11"/>
      <c r="D43" s="11"/>
      <c r="E43" s="11"/>
      <c r="F43" s="11"/>
      <c r="H43" s="11"/>
      <c r="J43" s="11"/>
      <c r="K43" s="11"/>
      <c r="L43" s="11"/>
      <c r="M43" s="11"/>
      <c r="N43" s="11"/>
      <c r="O43" s="11"/>
      <c r="P43" s="11"/>
    </row>
    <row r="44" spans="1:22" ht="15.75" thickBot="1" x14ac:dyDescent="0.3">
      <c r="A44" s="64" t="s">
        <v>65</v>
      </c>
      <c r="B44" s="65">
        <f>C25-B25</f>
        <v>3537.99</v>
      </c>
      <c r="C44" s="11"/>
      <c r="D44" s="11"/>
      <c r="E44" s="11"/>
      <c r="F44" s="11"/>
      <c r="G44" s="11"/>
      <c r="H44" s="11"/>
      <c r="J44" s="11"/>
      <c r="K44" s="11"/>
      <c r="L44" s="11"/>
      <c r="M44" s="11"/>
      <c r="N44" s="11"/>
      <c r="O44" s="11"/>
      <c r="P44" s="11"/>
    </row>
    <row r="45" spans="1:22" ht="15.75" thickBot="1" x14ac:dyDescent="0.3">
      <c r="A45" s="68" t="s">
        <v>66</v>
      </c>
      <c r="B45" s="70">
        <f>C29</f>
        <v>568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22" ht="15.75" thickBot="1" x14ac:dyDescent="0.3">
      <c r="A46" s="68" t="s">
        <v>53</v>
      </c>
      <c r="B46" s="70">
        <v>1000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22" ht="15.75" thickBot="1" x14ac:dyDescent="0.3">
      <c r="A47" s="64" t="s">
        <v>54</v>
      </c>
      <c r="B47" s="70">
        <f>C31</f>
        <v>605</v>
      </c>
      <c r="C47" s="11"/>
      <c r="D47" s="11"/>
      <c r="E47" s="11"/>
      <c r="F47" s="11"/>
      <c r="G47" s="11"/>
      <c r="H47" s="11"/>
      <c r="I47" s="11"/>
      <c r="J47" s="11"/>
      <c r="L47" s="11"/>
      <c r="M47" s="11"/>
      <c r="N47" s="11"/>
      <c r="O47" s="11"/>
      <c r="P47" s="11"/>
    </row>
    <row r="48" spans="1:22" ht="15.75" thickBot="1" x14ac:dyDescent="0.3">
      <c r="A48" s="68" t="s">
        <v>67</v>
      </c>
      <c r="B48" s="70">
        <f>B40*12+B43+B46</f>
        <v>81017.440000000002</v>
      </c>
      <c r="C48" s="11"/>
      <c r="D48" s="11"/>
      <c r="E48" s="11"/>
      <c r="F48" s="11"/>
      <c r="G48" s="11"/>
      <c r="H48" s="11"/>
      <c r="I48" s="11"/>
      <c r="K48" s="11"/>
      <c r="L48" s="11"/>
      <c r="M48" s="11"/>
      <c r="N48" s="11"/>
      <c r="O48" s="11"/>
      <c r="P48" s="11"/>
    </row>
    <row r="49" spans="1:16" ht="15.75" thickBot="1" x14ac:dyDescent="0.3">
      <c r="A49" s="68" t="s">
        <v>58</v>
      </c>
      <c r="B49" s="70">
        <f>B40</f>
        <v>6219</v>
      </c>
      <c r="C49" s="11"/>
      <c r="D49" s="11"/>
      <c r="E49" s="11"/>
      <c r="F49" s="11"/>
      <c r="G49" s="11"/>
      <c r="H49" s="11"/>
      <c r="I49" s="11"/>
      <c r="K49" s="11"/>
      <c r="L49" s="11"/>
      <c r="M49" s="11"/>
      <c r="N49" s="11"/>
      <c r="O49" s="11"/>
      <c r="P49" s="11"/>
    </row>
    <row r="50" spans="1:16" x14ac:dyDescent="0.25">
      <c r="A50" s="59" t="s">
        <v>60</v>
      </c>
      <c r="B50" s="77">
        <f>B48</f>
        <v>81017.440000000002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 x14ac:dyDescent="0.25">
      <c r="A51" s="64" t="s">
        <v>68</v>
      </c>
      <c r="B51" s="65">
        <v>224787</v>
      </c>
      <c r="C51" s="11"/>
      <c r="D51" s="11"/>
      <c r="E51" s="11"/>
      <c r="F51" s="11"/>
      <c r="G51" s="11"/>
      <c r="I51" s="11"/>
      <c r="J51" s="11"/>
      <c r="K51" s="11"/>
      <c r="L51" s="11"/>
      <c r="M51" s="11"/>
      <c r="N51" s="11"/>
      <c r="O51" s="11"/>
      <c r="P51" s="11"/>
    </row>
    <row r="52" spans="1:16" ht="15.75" thickBot="1" x14ac:dyDescent="0.3">
      <c r="A52" s="80" t="s">
        <v>69</v>
      </c>
      <c r="B52" s="81">
        <v>448947</v>
      </c>
      <c r="C52" s="11"/>
      <c r="D52" s="11"/>
      <c r="E52" s="11"/>
      <c r="F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 ht="15.75" thickBot="1" x14ac:dyDescent="0.3">
      <c r="A53" s="46" t="s">
        <v>40</v>
      </c>
      <c r="B53" s="84" t="e">
        <f>#REF!+F15+J36+J22</f>
        <v>#REF!</v>
      </c>
      <c r="C53" s="11"/>
      <c r="D53" s="11"/>
      <c r="E53" s="11"/>
      <c r="F53" s="11"/>
      <c r="H53" s="11"/>
      <c r="I53" s="11"/>
      <c r="L53" s="11"/>
      <c r="M53" s="11"/>
      <c r="N53" s="11"/>
      <c r="O53" s="11"/>
      <c r="P53" s="11"/>
    </row>
    <row r="54" spans="1:16" ht="15.75" thickBot="1" x14ac:dyDescent="0.3">
      <c r="A54" s="38" t="s">
        <v>38</v>
      </c>
      <c r="B54" s="85">
        <f>C25+B15+H5</f>
        <v>3537.99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  <c r="M55" s="11"/>
      <c r="N55" s="11"/>
      <c r="O55" s="11"/>
      <c r="P55" s="11"/>
    </row>
    <row r="56" spans="1:16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 x14ac:dyDescent="0.25">
      <c r="A57" s="11"/>
      <c r="B57" s="11"/>
      <c r="C57" s="11"/>
      <c r="D57" s="11"/>
      <c r="E57" s="11"/>
      <c r="F57" s="11"/>
      <c r="I57" s="11"/>
      <c r="J57" s="11"/>
      <c r="K57" s="11"/>
      <c r="L57" s="11"/>
      <c r="M57" s="11"/>
      <c r="N57" s="11"/>
      <c r="O57" s="11"/>
      <c r="P57" s="11"/>
    </row>
    <row r="58" spans="1:16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spans="1:16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1:16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1:16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spans="1:16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 spans="1:16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spans="1:16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BDC5-73A4-4881-85D0-35D6D3452A40}">
  <dimension ref="A1:U79"/>
  <sheetViews>
    <sheetView tabSelected="1" topLeftCell="E1" zoomScale="115" zoomScaleNormal="115" workbookViewId="0">
      <selection activeCell="M16" sqref="M16"/>
    </sheetView>
  </sheetViews>
  <sheetFormatPr defaultRowHeight="15" x14ac:dyDescent="0.25"/>
  <cols>
    <col min="1" max="1" width="35.140625" bestFit="1" customWidth="1"/>
    <col min="2" max="2" width="10.140625" bestFit="1" customWidth="1"/>
    <col min="3" max="3" width="17.5703125" bestFit="1" customWidth="1"/>
    <col min="4" max="4" width="9.5703125" bestFit="1" customWidth="1"/>
    <col min="5" max="5" width="12.5703125" bestFit="1" customWidth="1"/>
    <col min="6" max="6" width="7.140625" bestFit="1" customWidth="1"/>
    <col min="7" max="7" width="22.85546875" bestFit="1" customWidth="1"/>
    <col min="8" max="8" width="9.7109375" bestFit="1" customWidth="1"/>
    <col min="9" max="9" width="39.140625" bestFit="1" customWidth="1"/>
    <col min="10" max="10" width="10.5703125" bestFit="1" customWidth="1"/>
    <col min="12" max="12" width="22" customWidth="1"/>
    <col min="13" max="13" width="35.42578125" bestFit="1" customWidth="1"/>
    <col min="14" max="14" width="12.28515625" bestFit="1" customWidth="1"/>
    <col min="15" max="15" width="19.28515625" bestFit="1" customWidth="1"/>
    <col min="16" max="16" width="11.28515625" bestFit="1" customWidth="1"/>
    <col min="18" max="18" width="22.7109375" customWidth="1"/>
    <col min="19" max="19" width="9.42578125" bestFit="1" customWidth="1"/>
  </cols>
  <sheetData>
    <row r="1" spans="1:21" ht="15.75" thickBot="1" x14ac:dyDescent="0.3">
      <c r="A1" s="1" t="s">
        <v>0</v>
      </c>
      <c r="B1" s="2"/>
      <c r="C1" s="3" t="s">
        <v>1</v>
      </c>
      <c r="D1" s="4"/>
      <c r="E1" s="5" t="s">
        <v>2</v>
      </c>
      <c r="F1" s="6"/>
      <c r="G1" s="7" t="s">
        <v>3</v>
      </c>
      <c r="H1" s="8"/>
      <c r="I1" s="9" t="s">
        <v>4</v>
      </c>
      <c r="J1" s="10"/>
      <c r="K1" s="11"/>
      <c r="L1" s="11"/>
      <c r="M1" s="11"/>
      <c r="N1" s="11"/>
      <c r="O1" s="11"/>
    </row>
    <row r="2" spans="1:21" x14ac:dyDescent="0.25">
      <c r="A2" s="12" t="s">
        <v>5</v>
      </c>
      <c r="B2" s="13">
        <v>0</v>
      </c>
      <c r="C2" s="14" t="s">
        <v>6</v>
      </c>
      <c r="D2" s="15">
        <v>3840</v>
      </c>
      <c r="E2" s="16" t="s">
        <v>7</v>
      </c>
      <c r="F2" s="17">
        <v>10</v>
      </c>
      <c r="G2" s="18" t="s">
        <v>8</v>
      </c>
      <c r="H2" s="19">
        <v>0</v>
      </c>
      <c r="I2" s="20" t="s">
        <v>9</v>
      </c>
      <c r="J2" s="21">
        <v>1256.0899999999999</v>
      </c>
      <c r="K2" s="11"/>
      <c r="L2" s="22"/>
      <c r="M2" s="23" t="s">
        <v>10</v>
      </c>
      <c r="N2" s="11"/>
      <c r="P2" s="11"/>
    </row>
    <row r="3" spans="1:21" x14ac:dyDescent="0.25">
      <c r="A3" s="12" t="s">
        <v>11</v>
      </c>
      <c r="B3" s="13">
        <v>0</v>
      </c>
      <c r="C3" s="14" t="s">
        <v>12</v>
      </c>
      <c r="D3" s="15">
        <v>568</v>
      </c>
      <c r="E3" s="16" t="s">
        <v>380</v>
      </c>
      <c r="F3" s="17">
        <v>10</v>
      </c>
      <c r="G3" s="18" t="s">
        <v>13</v>
      </c>
      <c r="H3" s="19">
        <v>0</v>
      </c>
      <c r="I3" s="20" t="s">
        <v>14</v>
      </c>
      <c r="J3" s="21">
        <f>150+100</f>
        <v>250</v>
      </c>
      <c r="K3" s="11">
        <f>J3-J18</f>
        <v>110</v>
      </c>
      <c r="L3" s="24"/>
      <c r="M3" s="25" t="s">
        <v>15</v>
      </c>
      <c r="N3" s="11"/>
      <c r="P3" s="11"/>
    </row>
    <row r="4" spans="1:21" x14ac:dyDescent="0.25">
      <c r="A4" s="12"/>
      <c r="B4" s="13"/>
      <c r="C4" s="14" t="s">
        <v>16</v>
      </c>
      <c r="D4" s="15"/>
      <c r="E4" s="16" t="s">
        <v>384</v>
      </c>
      <c r="F4" s="17">
        <v>224.2</v>
      </c>
      <c r="G4" s="18" t="s">
        <v>17</v>
      </c>
      <c r="H4" s="19">
        <v>0</v>
      </c>
      <c r="I4" s="20" t="s">
        <v>18</v>
      </c>
      <c r="J4" s="21">
        <v>42.5</v>
      </c>
      <c r="K4" s="11"/>
      <c r="L4" s="24" t="s">
        <v>19</v>
      </c>
      <c r="M4" s="25">
        <v>259</v>
      </c>
      <c r="N4" s="11"/>
      <c r="O4" s="11"/>
    </row>
    <row r="5" spans="1:21" x14ac:dyDescent="0.25">
      <c r="A5" s="12"/>
      <c r="B5" s="13"/>
      <c r="C5" s="14" t="s">
        <v>20</v>
      </c>
      <c r="D5" s="15"/>
      <c r="E5" s="16" t="s">
        <v>385</v>
      </c>
      <c r="F5" s="17">
        <v>420</v>
      </c>
      <c r="G5" s="18" t="s">
        <v>21</v>
      </c>
      <c r="H5" s="19">
        <v>0</v>
      </c>
      <c r="I5" s="20" t="s">
        <v>22</v>
      </c>
      <c r="J5" s="21">
        <v>33.76</v>
      </c>
      <c r="K5" s="11"/>
      <c r="L5" s="24" t="s">
        <v>23</v>
      </c>
      <c r="M5" s="25">
        <v>200</v>
      </c>
      <c r="N5" s="11"/>
      <c r="O5" s="11"/>
    </row>
    <row r="6" spans="1:21" ht="15.75" thickBot="1" x14ac:dyDescent="0.3">
      <c r="A6" s="12"/>
      <c r="B6" s="13"/>
      <c r="C6" s="14" t="s">
        <v>24</v>
      </c>
      <c r="D6" s="15">
        <v>0</v>
      </c>
      <c r="E6" s="16"/>
      <c r="F6" s="17"/>
      <c r="G6" s="18"/>
      <c r="H6" s="19"/>
      <c r="I6" s="20" t="s">
        <v>25</v>
      </c>
      <c r="J6" s="21">
        <v>60</v>
      </c>
      <c r="K6" s="11"/>
      <c r="L6" s="26" t="s">
        <v>26</v>
      </c>
      <c r="M6" s="27">
        <v>200</v>
      </c>
      <c r="N6" s="11"/>
      <c r="O6" s="11"/>
    </row>
    <row r="7" spans="1:21" ht="15.75" thickBot="1" x14ac:dyDescent="0.3">
      <c r="A7" s="12"/>
      <c r="B7" s="13"/>
      <c r="C7" s="14"/>
      <c r="D7" s="15"/>
      <c r="E7" s="16"/>
      <c r="F7" s="17"/>
      <c r="G7" s="18"/>
      <c r="H7" s="19"/>
      <c r="I7" s="20" t="s">
        <v>27</v>
      </c>
      <c r="J7" s="21">
        <v>72.66</v>
      </c>
      <c r="K7" s="11"/>
      <c r="L7" s="11"/>
      <c r="M7" s="11"/>
      <c r="N7" s="11"/>
      <c r="O7" s="11"/>
    </row>
    <row r="8" spans="1:21" x14ac:dyDescent="0.25">
      <c r="A8" s="12"/>
      <c r="B8" s="13"/>
      <c r="C8" s="14"/>
      <c r="D8" s="15"/>
      <c r="E8" s="16"/>
      <c r="F8" s="17"/>
      <c r="G8" s="18"/>
      <c r="H8" s="19"/>
      <c r="I8" s="20" t="s">
        <v>28</v>
      </c>
      <c r="J8" s="21">
        <v>39.24</v>
      </c>
      <c r="K8" s="11"/>
      <c r="L8" s="22"/>
      <c r="M8" s="23" t="s">
        <v>10</v>
      </c>
      <c r="N8" s="11"/>
      <c r="O8" s="11"/>
    </row>
    <row r="9" spans="1:21" x14ac:dyDescent="0.25">
      <c r="A9" s="12"/>
      <c r="B9" s="13"/>
      <c r="C9" s="14"/>
      <c r="D9" s="15"/>
      <c r="E9" s="16"/>
      <c r="F9" s="17"/>
      <c r="G9" s="18"/>
      <c r="H9" s="19"/>
      <c r="I9" s="20" t="s">
        <v>29</v>
      </c>
      <c r="J9" s="21">
        <v>184.78</v>
      </c>
      <c r="K9" s="11"/>
      <c r="L9" s="24"/>
      <c r="M9" s="25" t="s">
        <v>30</v>
      </c>
      <c r="N9" s="11"/>
      <c r="O9" s="11"/>
      <c r="P9" s="28"/>
    </row>
    <row r="10" spans="1:21" x14ac:dyDescent="0.25">
      <c r="A10" s="12"/>
      <c r="B10" s="13"/>
      <c r="C10" s="14"/>
      <c r="D10" s="15"/>
      <c r="E10" s="16"/>
      <c r="F10" s="17"/>
      <c r="G10" s="18"/>
      <c r="H10" s="19"/>
      <c r="I10" s="20" t="s">
        <v>31</v>
      </c>
      <c r="J10" s="21">
        <v>40</v>
      </c>
      <c r="K10" s="11"/>
      <c r="L10" s="24" t="s">
        <v>19</v>
      </c>
      <c r="M10" s="25">
        <v>468</v>
      </c>
      <c r="N10" s="11"/>
      <c r="O10" s="11"/>
    </row>
    <row r="11" spans="1:21" x14ac:dyDescent="0.25">
      <c r="A11" s="12"/>
      <c r="B11" s="13"/>
      <c r="C11" s="14"/>
      <c r="D11" s="15"/>
      <c r="E11" s="16"/>
      <c r="F11" s="17"/>
      <c r="G11" s="18"/>
      <c r="H11" s="19"/>
      <c r="I11" s="20" t="s">
        <v>32</v>
      </c>
      <c r="J11" s="21">
        <v>70</v>
      </c>
      <c r="K11" s="11"/>
      <c r="L11" s="24" t="s">
        <v>23</v>
      </c>
      <c r="M11" s="25">
        <v>468</v>
      </c>
      <c r="N11" s="11"/>
      <c r="O11" s="11"/>
    </row>
    <row r="12" spans="1:21" ht="15.75" thickBot="1" x14ac:dyDescent="0.3">
      <c r="A12" s="12"/>
      <c r="B12" s="13"/>
      <c r="C12" s="14"/>
      <c r="D12" s="15"/>
      <c r="E12" s="16"/>
      <c r="F12" s="17"/>
      <c r="G12" s="18"/>
      <c r="H12" s="19"/>
      <c r="I12" s="20" t="s">
        <v>33</v>
      </c>
      <c r="J12" s="21">
        <v>10.93</v>
      </c>
      <c r="K12" s="11"/>
      <c r="L12" s="26" t="s">
        <v>26</v>
      </c>
      <c r="M12" s="27">
        <v>200</v>
      </c>
      <c r="N12" s="11"/>
      <c r="O12" s="11"/>
    </row>
    <row r="13" spans="1:21" x14ac:dyDescent="0.25">
      <c r="A13" s="12"/>
      <c r="B13" s="13"/>
      <c r="C13" s="14"/>
      <c r="D13" s="15"/>
      <c r="E13" s="16"/>
      <c r="F13" s="17"/>
      <c r="G13" s="18"/>
      <c r="H13" s="19"/>
      <c r="I13" s="29" t="s">
        <v>39</v>
      </c>
      <c r="J13" s="21">
        <v>32</v>
      </c>
      <c r="K13" s="11"/>
      <c r="L13" s="11"/>
      <c r="M13" s="11"/>
      <c r="N13" s="11"/>
      <c r="O13" s="11"/>
    </row>
    <row r="14" spans="1:21" ht="15.75" thickBot="1" x14ac:dyDescent="0.3">
      <c r="A14" s="30"/>
      <c r="B14" s="31"/>
      <c r="C14" s="32"/>
      <c r="D14" s="33"/>
      <c r="E14" s="34"/>
      <c r="F14" s="35"/>
      <c r="G14" s="36"/>
      <c r="H14" s="37"/>
      <c r="I14" s="29"/>
      <c r="J14" s="21"/>
      <c r="K14" s="11"/>
      <c r="L14" s="11"/>
      <c r="O14" s="11"/>
      <c r="R14" s="11"/>
      <c r="S14" s="11"/>
      <c r="T14" s="11"/>
    </row>
    <row r="15" spans="1:21" ht="15.75" thickBot="1" x14ac:dyDescent="0.3">
      <c r="A15" s="38" t="s">
        <v>35</v>
      </c>
      <c r="B15" s="39">
        <f>SUM(B2:B14)</f>
        <v>0</v>
      </c>
      <c r="C15" s="38" t="s">
        <v>34</v>
      </c>
      <c r="D15" s="39">
        <f>SUM(D2:D14)</f>
        <v>4408</v>
      </c>
      <c r="E15" s="38" t="s">
        <v>34</v>
      </c>
      <c r="F15" s="40">
        <f>SUM(F2:F14)</f>
        <v>664.2</v>
      </c>
      <c r="G15" s="38" t="s">
        <v>36</v>
      </c>
      <c r="H15" s="41">
        <f>H2+H3+H4+H5+H6+H7+H8</f>
        <v>0</v>
      </c>
      <c r="I15" s="29" t="s">
        <v>377</v>
      </c>
      <c r="J15" s="21">
        <v>22</v>
      </c>
      <c r="K15" s="11"/>
      <c r="L15" s="11"/>
      <c r="M15" s="28">
        <f>J2+J7</f>
        <v>1328.75</v>
      </c>
      <c r="R15" s="11"/>
      <c r="S15" s="11"/>
      <c r="T15" s="11"/>
      <c r="U15" s="28"/>
    </row>
    <row r="16" spans="1:21" ht="15.75" thickBot="1" x14ac:dyDescent="0.3">
      <c r="A16" s="11"/>
      <c r="B16" s="11"/>
      <c r="C16" s="11"/>
      <c r="D16" s="11"/>
      <c r="E16" s="11"/>
      <c r="F16" s="11"/>
      <c r="G16" s="11"/>
      <c r="H16" s="11"/>
      <c r="I16" s="29"/>
      <c r="J16" s="21"/>
      <c r="K16" s="11"/>
      <c r="L16" s="11"/>
      <c r="R16" s="11"/>
      <c r="S16" s="11"/>
      <c r="T16" s="11"/>
    </row>
    <row r="17" spans="1:21" x14ac:dyDescent="0.25">
      <c r="A17" s="42" t="s">
        <v>38</v>
      </c>
      <c r="B17" s="43"/>
      <c r="C17" s="44">
        <f>D15</f>
        <v>4408</v>
      </c>
      <c r="D17" s="45">
        <f>(D15*1.02)+125</f>
        <v>4621.16</v>
      </c>
      <c r="E17" s="45">
        <f>(D17*1.02)+125</f>
        <v>4838.5832</v>
      </c>
      <c r="F17" s="11"/>
      <c r="G17" s="11"/>
      <c r="H17" s="11"/>
      <c r="I17" s="29" t="s">
        <v>530</v>
      </c>
      <c r="J17" s="21">
        <f>Offertes!M29</f>
        <v>156.44999999999999</v>
      </c>
      <c r="K17" s="11">
        <f>J17-J18</f>
        <v>16.449999999999989</v>
      </c>
      <c r="L17" s="11"/>
      <c r="R17" s="11"/>
      <c r="S17" s="11"/>
      <c r="T17" s="11"/>
    </row>
    <row r="18" spans="1:21" x14ac:dyDescent="0.25">
      <c r="A18" s="46"/>
      <c r="B18" s="47"/>
      <c r="C18" s="48"/>
      <c r="D18" s="49"/>
      <c r="E18" s="49"/>
      <c r="F18" s="11"/>
      <c r="G18" s="11"/>
      <c r="H18" s="11"/>
      <c r="I18" s="29" t="s">
        <v>533</v>
      </c>
      <c r="J18" s="21">
        <f>Offertes!C44</f>
        <v>140</v>
      </c>
      <c r="K18" s="11"/>
      <c r="L18" s="11"/>
      <c r="R18" s="11"/>
      <c r="S18" s="11"/>
      <c r="T18" s="11"/>
      <c r="U18" s="28"/>
    </row>
    <row r="19" spans="1:21" x14ac:dyDescent="0.25">
      <c r="A19" s="46" t="s">
        <v>40</v>
      </c>
      <c r="B19" s="47"/>
      <c r="C19" s="48">
        <f>F15+J36+J22</f>
        <v>3571.1099999999997</v>
      </c>
      <c r="D19" s="49">
        <f>F15+J36+J22</f>
        <v>3571.1099999999997</v>
      </c>
      <c r="E19" s="49">
        <f>F15+J36+J22</f>
        <v>3571.1099999999997</v>
      </c>
      <c r="F19" s="11"/>
      <c r="G19" s="11"/>
      <c r="H19" s="11"/>
      <c r="I19" s="29"/>
      <c r="J19" s="21"/>
      <c r="K19" s="11"/>
      <c r="L19" s="21">
        <v>40</v>
      </c>
      <c r="R19" s="11"/>
      <c r="S19" s="11"/>
      <c r="T19" s="11"/>
    </row>
    <row r="20" spans="1:21" x14ac:dyDescent="0.25">
      <c r="A20" s="46"/>
      <c r="B20" s="47"/>
      <c r="C20" s="48"/>
      <c r="D20" s="49"/>
      <c r="E20" s="49"/>
      <c r="F20" s="11"/>
      <c r="G20" s="11"/>
      <c r="H20" s="11"/>
      <c r="I20" s="29"/>
      <c r="J20" s="21"/>
      <c r="L20" s="21">
        <v>70</v>
      </c>
      <c r="R20" s="11"/>
      <c r="S20" s="11"/>
      <c r="T20" s="11"/>
    </row>
    <row r="21" spans="1:21" ht="15.75" thickBot="1" x14ac:dyDescent="0.3">
      <c r="A21" s="50" t="s">
        <v>41</v>
      </c>
      <c r="B21" s="51"/>
      <c r="C21" s="52">
        <f>C17-C19</f>
        <v>836.89000000000033</v>
      </c>
      <c r="D21" s="53">
        <f>D17-D19</f>
        <v>1050.0500000000002</v>
      </c>
      <c r="E21" s="53">
        <f t="shared" ref="E21" si="0">E17-E19</f>
        <v>1267.4732000000004</v>
      </c>
      <c r="F21" s="11"/>
      <c r="G21" s="11" t="s">
        <v>70</v>
      </c>
      <c r="H21" s="11">
        <v>8774</v>
      </c>
      <c r="I21" s="54"/>
      <c r="J21" s="55"/>
      <c r="R21" s="11"/>
      <c r="S21" s="11"/>
      <c r="T21" s="11"/>
      <c r="U21" s="28"/>
    </row>
    <row r="22" spans="1:21" ht="15.75" thickBot="1" x14ac:dyDescent="0.3">
      <c r="A22" s="11"/>
      <c r="B22" s="11"/>
      <c r="C22" s="56"/>
      <c r="D22" s="56"/>
      <c r="E22" s="56"/>
      <c r="F22" s="11"/>
      <c r="G22" s="11"/>
      <c r="H22" s="11"/>
      <c r="I22" s="38" t="s">
        <v>42</v>
      </c>
      <c r="J22" s="57">
        <f>SUM(J2:J21)</f>
        <v>2410.4099999999994</v>
      </c>
      <c r="K22" s="11"/>
      <c r="L22" s="11"/>
      <c r="R22" s="11"/>
      <c r="S22" s="11"/>
      <c r="T22" s="11"/>
    </row>
    <row r="23" spans="1:21" ht="15.75" thickBot="1" x14ac:dyDescent="0.3">
      <c r="A23" s="11"/>
      <c r="B23" s="11"/>
      <c r="C23" s="58"/>
      <c r="D23" s="11"/>
      <c r="E23" s="56"/>
      <c r="F23" s="11"/>
      <c r="G23" s="11"/>
      <c r="H23" s="11"/>
      <c r="I23" s="11"/>
      <c r="J23" s="11"/>
      <c r="K23" s="11"/>
      <c r="L23" s="11"/>
      <c r="R23" s="11"/>
      <c r="S23" s="11"/>
      <c r="T23" s="11"/>
    </row>
    <row r="24" spans="1:21" x14ac:dyDescent="0.25">
      <c r="A24" s="59" t="s">
        <v>43</v>
      </c>
      <c r="B24" s="45"/>
      <c r="C24" s="60">
        <v>6219</v>
      </c>
      <c r="D24" s="61">
        <v>6343.38</v>
      </c>
      <c r="E24" s="61">
        <v>6470.2</v>
      </c>
      <c r="F24" s="11"/>
      <c r="G24" s="11"/>
      <c r="H24" s="11"/>
      <c r="I24" s="62" t="s">
        <v>44</v>
      </c>
      <c r="J24" s="63">
        <v>80</v>
      </c>
      <c r="K24" s="11"/>
      <c r="L24" s="11"/>
      <c r="M24" t="s">
        <v>482</v>
      </c>
      <c r="N24">
        <v>148</v>
      </c>
      <c r="R24" s="11"/>
      <c r="S24" s="11"/>
      <c r="T24" s="11"/>
      <c r="U24" s="28"/>
    </row>
    <row r="25" spans="1:21" x14ac:dyDescent="0.25">
      <c r="A25" s="64" t="s">
        <v>45</v>
      </c>
      <c r="B25" s="49"/>
      <c r="C25" s="65">
        <f>3537.99</f>
        <v>3537.99</v>
      </c>
      <c r="D25" s="64">
        <f>D17</f>
        <v>4621.16</v>
      </c>
      <c r="E25" s="64">
        <f>E17</f>
        <v>4838.5832</v>
      </c>
      <c r="F25" s="11"/>
      <c r="G25" s="11"/>
      <c r="H25" s="11"/>
      <c r="I25" s="66" t="s">
        <v>46</v>
      </c>
      <c r="J25" s="67">
        <v>0</v>
      </c>
      <c r="K25" s="11"/>
      <c r="L25" s="11"/>
      <c r="M25" t="s">
        <v>483</v>
      </c>
      <c r="N25">
        <v>85</v>
      </c>
      <c r="R25" s="11"/>
      <c r="S25" s="11"/>
      <c r="T25" s="11"/>
    </row>
    <row r="26" spans="1:21" ht="15.75" thickBot="1" x14ac:dyDescent="0.3">
      <c r="A26" s="64" t="s">
        <v>47</v>
      </c>
      <c r="B26" s="49"/>
      <c r="C26" s="65">
        <f>C24-C25</f>
        <v>2681.01</v>
      </c>
      <c r="D26" s="64">
        <f>D24-D25</f>
        <v>1722.2200000000003</v>
      </c>
      <c r="E26" s="64">
        <f t="shared" ref="E26" si="1">E24-E25</f>
        <v>1631.6167999999998</v>
      </c>
      <c r="F26" s="11"/>
      <c r="G26" s="11"/>
      <c r="H26" s="11"/>
      <c r="I26" s="66" t="s">
        <v>48</v>
      </c>
      <c r="J26" s="67">
        <v>400</v>
      </c>
      <c r="K26" s="11"/>
      <c r="L26" s="11"/>
      <c r="R26" s="11"/>
      <c r="S26" s="11"/>
      <c r="T26" s="11"/>
    </row>
    <row r="27" spans="1:21" ht="15.75" thickBot="1" x14ac:dyDescent="0.3">
      <c r="A27" s="68" t="s">
        <v>49</v>
      </c>
      <c r="B27" s="69"/>
      <c r="C27" s="70">
        <v>2539.41</v>
      </c>
      <c r="D27" s="71">
        <v>2700</v>
      </c>
      <c r="E27" s="71">
        <v>2900</v>
      </c>
      <c r="F27" s="56"/>
      <c r="G27" s="56"/>
      <c r="H27" s="56"/>
      <c r="I27" s="150"/>
      <c r="J27" s="151"/>
      <c r="K27" s="11"/>
      <c r="R27" s="11"/>
      <c r="S27" s="11"/>
      <c r="T27" s="11"/>
      <c r="U27" s="28"/>
    </row>
    <row r="28" spans="1:21" ht="15.75" thickBot="1" x14ac:dyDescent="0.3">
      <c r="A28" s="64" t="s">
        <v>50</v>
      </c>
      <c r="B28" s="59"/>
      <c r="C28" s="65"/>
      <c r="D28" s="64">
        <f>D25-$C25</f>
        <v>1083.17</v>
      </c>
      <c r="E28" s="64">
        <f>E25-$D25</f>
        <v>217.42320000000018</v>
      </c>
      <c r="F28" s="56"/>
      <c r="G28" s="56"/>
      <c r="H28" s="56"/>
      <c r="I28" s="152"/>
      <c r="J28" s="153"/>
      <c r="K28" s="11"/>
      <c r="R28" s="11"/>
      <c r="S28" s="11"/>
      <c r="T28" s="11"/>
    </row>
    <row r="29" spans="1:21" ht="15.75" thickBot="1" x14ac:dyDescent="0.3">
      <c r="A29" s="68" t="s">
        <v>51</v>
      </c>
      <c r="B29" s="68"/>
      <c r="C29" s="70">
        <f>D3</f>
        <v>568</v>
      </c>
      <c r="D29" s="70">
        <f>D3</f>
        <v>568</v>
      </c>
      <c r="E29" s="70">
        <f>D3</f>
        <v>568</v>
      </c>
      <c r="F29" s="56"/>
      <c r="G29" s="56"/>
      <c r="H29" s="56"/>
      <c r="I29" s="74"/>
      <c r="J29" s="75"/>
      <c r="K29" s="11">
        <v>214</v>
      </c>
      <c r="L29">
        <v>3</v>
      </c>
      <c r="R29" s="11"/>
      <c r="S29" s="11"/>
      <c r="T29" s="11"/>
    </row>
    <row r="30" spans="1:21" ht="15.75" thickBot="1" x14ac:dyDescent="0.3">
      <c r="A30" s="68" t="s">
        <v>53</v>
      </c>
      <c r="B30" s="68"/>
      <c r="C30" s="70">
        <v>1000</v>
      </c>
      <c r="D30" s="76">
        <v>1000</v>
      </c>
      <c r="E30" s="68">
        <v>1000</v>
      </c>
      <c r="F30" s="56"/>
      <c r="G30" s="56"/>
      <c r="H30" s="56"/>
      <c r="I30" s="74" t="s">
        <v>71</v>
      </c>
      <c r="J30" s="75">
        <f>6.5+5+5</f>
        <v>16.5</v>
      </c>
      <c r="K30" s="11"/>
      <c r="R30" s="11"/>
      <c r="S30" s="11"/>
      <c r="T30" s="11"/>
      <c r="U30" s="28"/>
    </row>
    <row r="31" spans="1:21" ht="15.75" thickBot="1" x14ac:dyDescent="0.3">
      <c r="A31" s="68" t="s">
        <v>54</v>
      </c>
      <c r="B31" s="68"/>
      <c r="C31" s="70">
        <v>605</v>
      </c>
      <c r="D31" s="71">
        <v>605</v>
      </c>
      <c r="E31" s="71">
        <v>605</v>
      </c>
      <c r="F31" s="56"/>
      <c r="G31" s="56"/>
      <c r="H31" s="56"/>
      <c r="I31" s="74" t="s">
        <v>55</v>
      </c>
      <c r="J31" s="75"/>
      <c r="K31" s="11"/>
      <c r="R31" s="11"/>
      <c r="S31" s="11"/>
      <c r="T31" s="11"/>
    </row>
    <row r="32" spans="1:21" ht="15.75" thickBot="1" x14ac:dyDescent="0.3">
      <c r="A32" s="68" t="s">
        <v>56</v>
      </c>
      <c r="B32" s="68"/>
      <c r="C32" s="70">
        <v>77550</v>
      </c>
      <c r="D32" s="70">
        <v>79101</v>
      </c>
      <c r="E32" s="70">
        <v>80683.02</v>
      </c>
      <c r="F32" s="56"/>
      <c r="G32" s="56"/>
      <c r="H32" s="56"/>
      <c r="I32" s="74" t="s">
        <v>57</v>
      </c>
      <c r="J32" s="75"/>
      <c r="K32" s="11">
        <v>500</v>
      </c>
      <c r="R32" s="11"/>
      <c r="S32" s="11"/>
      <c r="T32" s="11"/>
    </row>
    <row r="33" spans="1:21" ht="15.75" thickBot="1" x14ac:dyDescent="0.3">
      <c r="A33" s="68" t="s">
        <v>58</v>
      </c>
      <c r="B33" s="68"/>
      <c r="C33" s="70">
        <v>25708</v>
      </c>
      <c r="D33" s="68">
        <v>26221</v>
      </c>
      <c r="E33" s="68">
        <v>26746</v>
      </c>
      <c r="F33" s="56"/>
      <c r="G33" s="56"/>
      <c r="H33" s="56"/>
      <c r="I33" s="74"/>
      <c r="J33" s="75"/>
      <c r="K33" s="11"/>
      <c r="R33" s="11"/>
      <c r="S33" s="11"/>
      <c r="T33" s="11"/>
      <c r="U33" s="28"/>
    </row>
    <row r="34" spans="1:21" x14ac:dyDescent="0.25">
      <c r="A34" s="59" t="s">
        <v>60</v>
      </c>
      <c r="B34" s="59"/>
      <c r="C34" s="77">
        <f t="shared" ref="C34:E34" si="2">C32</f>
        <v>77550</v>
      </c>
      <c r="D34" s="59">
        <f t="shared" si="2"/>
        <v>79101</v>
      </c>
      <c r="E34" s="59">
        <f t="shared" si="2"/>
        <v>80683.02</v>
      </c>
      <c r="F34" s="56"/>
      <c r="G34" s="56"/>
      <c r="H34" s="56"/>
      <c r="I34" s="74"/>
      <c r="J34" s="75"/>
      <c r="K34" s="149">
        <f>'[1]JB 2025 December'!$J$34</f>
        <v>384.31666666666666</v>
      </c>
      <c r="R34" s="11"/>
      <c r="S34" s="11"/>
      <c r="T34" s="11"/>
    </row>
    <row r="35" spans="1:21" ht="15.75" thickBot="1" x14ac:dyDescent="0.3">
      <c r="A35" s="64" t="s">
        <v>61</v>
      </c>
      <c r="B35" s="64"/>
      <c r="C35" s="65">
        <f>(J2*12)-(C29*12)</f>
        <v>8257.0799999999981</v>
      </c>
      <c r="D35" s="65">
        <f>J2*12</f>
        <v>15073.079999999998</v>
      </c>
      <c r="E35" s="65">
        <f>J2*12</f>
        <v>15073.079999999998</v>
      </c>
      <c r="F35" s="56"/>
      <c r="G35" s="11"/>
      <c r="H35" s="11"/>
      <c r="I35" s="78"/>
      <c r="J35" s="79"/>
      <c r="K35" s="11"/>
      <c r="R35" s="11"/>
      <c r="S35" s="11"/>
      <c r="T35" s="11"/>
    </row>
    <row r="36" spans="1:21" ht="15.75" thickBot="1" x14ac:dyDescent="0.3">
      <c r="A36" s="80" t="s">
        <v>62</v>
      </c>
      <c r="B36" s="80"/>
      <c r="C36" s="81">
        <f>C32-C33</f>
        <v>51842</v>
      </c>
      <c r="D36" s="81">
        <f t="shared" ref="D36:E36" si="3">D32-D33</f>
        <v>52880</v>
      </c>
      <c r="E36" s="81">
        <f t="shared" si="3"/>
        <v>53937.020000000004</v>
      </c>
      <c r="F36" s="56"/>
      <c r="G36" s="11"/>
      <c r="H36" s="11"/>
      <c r="I36" s="50" t="s">
        <v>42</v>
      </c>
      <c r="J36" s="82">
        <f>SUM(J24:J35)</f>
        <v>496.5</v>
      </c>
      <c r="K36" s="11"/>
      <c r="R36" s="11"/>
      <c r="S36" s="11"/>
      <c r="T36" s="11"/>
      <c r="U36" s="28"/>
    </row>
    <row r="37" spans="1:21" ht="15.75" thickBot="1" x14ac:dyDescent="0.3">
      <c r="A37" s="11"/>
      <c r="B37" s="11"/>
      <c r="C37" s="11"/>
      <c r="D37" s="11"/>
      <c r="E37" s="11"/>
      <c r="F37" s="56"/>
      <c r="G37" s="11"/>
      <c r="H37" s="11"/>
      <c r="I37" s="38" t="s">
        <v>63</v>
      </c>
      <c r="J37" s="83">
        <f>J22+J36</f>
        <v>2906.9099999999994</v>
      </c>
      <c r="K37" s="11"/>
      <c r="L37" s="11"/>
      <c r="M37" s="11"/>
      <c r="N37" s="11"/>
      <c r="R37" s="11"/>
      <c r="S37" s="11"/>
      <c r="T37" s="11"/>
    </row>
    <row r="38" spans="1:21" x14ac:dyDescent="0.25"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21" ht="15.75" thickBot="1" x14ac:dyDescent="0.3"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21" x14ac:dyDescent="0.25">
      <c r="A40" s="59" t="s">
        <v>43</v>
      </c>
      <c r="B40" s="60">
        <f>C24</f>
        <v>6219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21" x14ac:dyDescent="0.25">
      <c r="A41" s="64" t="s">
        <v>45</v>
      </c>
      <c r="B41" s="65">
        <f>C24*0.5998</f>
        <v>3730.1561999999999</v>
      </c>
      <c r="C41" s="11"/>
      <c r="D41" s="11"/>
      <c r="E41" s="11"/>
      <c r="F41" s="11"/>
      <c r="G41" s="11"/>
      <c r="I41" s="11"/>
      <c r="J41" s="11"/>
      <c r="K41" s="11"/>
      <c r="L41" s="11"/>
    </row>
    <row r="42" spans="1:21" ht="15.75" thickBot="1" x14ac:dyDescent="0.3">
      <c r="A42" s="64" t="s">
        <v>47</v>
      </c>
      <c r="B42" s="65">
        <f>B40-B41</f>
        <v>2488.8438000000001</v>
      </c>
      <c r="C42" s="11"/>
      <c r="D42" s="11"/>
      <c r="E42" s="11"/>
      <c r="F42" s="11"/>
      <c r="H42" s="11"/>
      <c r="I42" s="11"/>
      <c r="J42" s="11"/>
      <c r="K42" s="11"/>
      <c r="L42" s="11"/>
      <c r="M42" s="11"/>
      <c r="N42" s="11"/>
      <c r="O42" s="11"/>
    </row>
    <row r="43" spans="1:21" ht="15.75" thickBot="1" x14ac:dyDescent="0.3">
      <c r="A43" s="68" t="s">
        <v>64</v>
      </c>
      <c r="B43" s="70">
        <f>((B40-B47)*12)/100*8</f>
        <v>5389.44</v>
      </c>
      <c r="C43" s="11"/>
      <c r="D43" s="11"/>
      <c r="E43" s="11"/>
      <c r="F43" s="11"/>
      <c r="H43" s="11"/>
      <c r="J43" s="11"/>
      <c r="K43" s="11"/>
      <c r="L43" s="11"/>
      <c r="M43" s="11"/>
      <c r="N43" s="11"/>
      <c r="O43" s="11"/>
    </row>
    <row r="44" spans="1:21" ht="15.75" thickBot="1" x14ac:dyDescent="0.3">
      <c r="A44" s="64" t="s">
        <v>65</v>
      </c>
      <c r="B44" s="65">
        <f>C25-B25</f>
        <v>3537.99</v>
      </c>
      <c r="C44" s="11"/>
      <c r="D44" s="11"/>
      <c r="E44" s="11"/>
      <c r="F44" s="11"/>
      <c r="G44" s="11"/>
      <c r="H44" s="11"/>
      <c r="J44" s="11"/>
      <c r="K44" s="11"/>
      <c r="L44" s="11"/>
      <c r="M44" s="11"/>
      <c r="N44" s="11"/>
      <c r="O44" s="11"/>
    </row>
    <row r="45" spans="1:21" ht="15.75" thickBot="1" x14ac:dyDescent="0.3">
      <c r="A45" s="68" t="s">
        <v>66</v>
      </c>
      <c r="B45" s="70">
        <f>C29</f>
        <v>568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21" ht="15.75" thickBot="1" x14ac:dyDescent="0.3">
      <c r="A46" s="68" t="s">
        <v>53</v>
      </c>
      <c r="B46" s="70">
        <v>1000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21" ht="15.75" thickBot="1" x14ac:dyDescent="0.3">
      <c r="A47" s="64" t="s">
        <v>54</v>
      </c>
      <c r="B47" s="70">
        <f>C31</f>
        <v>605</v>
      </c>
      <c r="C47" s="11"/>
      <c r="D47" s="11"/>
      <c r="E47" s="11"/>
      <c r="F47" s="11"/>
      <c r="G47" s="11"/>
      <c r="H47" s="11"/>
      <c r="I47" s="11"/>
      <c r="J47" s="11"/>
      <c r="L47" s="11"/>
      <c r="M47" s="11"/>
      <c r="N47" s="11"/>
      <c r="O47" s="11"/>
    </row>
    <row r="48" spans="1:21" ht="15.75" thickBot="1" x14ac:dyDescent="0.3">
      <c r="A48" s="68" t="s">
        <v>67</v>
      </c>
      <c r="B48" s="70">
        <f>B40*12+B43+B46</f>
        <v>81017.440000000002</v>
      </c>
      <c r="C48" s="11"/>
      <c r="D48" s="11"/>
      <c r="E48" s="11"/>
      <c r="F48" s="11"/>
      <c r="G48" s="11"/>
      <c r="H48" s="11"/>
      <c r="I48" s="11"/>
      <c r="K48" s="11"/>
      <c r="L48" s="11"/>
      <c r="M48" s="11"/>
      <c r="N48" s="11"/>
      <c r="O48" s="11"/>
    </row>
    <row r="49" spans="1:15" ht="15.75" thickBot="1" x14ac:dyDescent="0.3">
      <c r="A49" s="68" t="s">
        <v>58</v>
      </c>
      <c r="B49" s="70">
        <f>B40</f>
        <v>6219</v>
      </c>
      <c r="C49" s="11"/>
      <c r="D49" s="11"/>
      <c r="E49" s="11"/>
      <c r="F49" s="11"/>
      <c r="G49" s="11"/>
      <c r="H49" s="11"/>
      <c r="I49" s="11"/>
      <c r="K49" s="11"/>
      <c r="L49" s="11"/>
      <c r="M49" s="11"/>
      <c r="N49" s="11"/>
      <c r="O49" s="11"/>
    </row>
    <row r="50" spans="1:15" x14ac:dyDescent="0.25">
      <c r="A50" s="59" t="s">
        <v>60</v>
      </c>
      <c r="B50" s="77">
        <f>B48</f>
        <v>81017.440000000002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25">
      <c r="A51" s="64" t="s">
        <v>68</v>
      </c>
      <c r="B51" s="65">
        <v>224787</v>
      </c>
      <c r="C51" s="11"/>
      <c r="D51" s="11"/>
      <c r="E51" s="11"/>
      <c r="F51" s="11"/>
      <c r="G51" s="11"/>
      <c r="I51" s="11"/>
      <c r="J51" s="11"/>
      <c r="K51" s="11"/>
      <c r="L51" s="11"/>
      <c r="M51" s="11"/>
      <c r="N51" s="11"/>
      <c r="O51" s="11"/>
    </row>
    <row r="52" spans="1:15" ht="15.75" thickBot="1" x14ac:dyDescent="0.3">
      <c r="A52" s="80" t="s">
        <v>69</v>
      </c>
      <c r="B52" s="81">
        <v>448947</v>
      </c>
      <c r="C52" s="11"/>
      <c r="D52" s="11"/>
      <c r="E52" s="11"/>
      <c r="F52" s="11"/>
      <c r="H52" s="11"/>
      <c r="I52" s="11"/>
      <c r="J52" s="11"/>
      <c r="K52" s="11"/>
      <c r="L52" s="11"/>
      <c r="M52" s="11"/>
      <c r="N52" s="11"/>
      <c r="O52" s="11"/>
    </row>
    <row r="53" spans="1:15" ht="15.75" thickBot="1" x14ac:dyDescent="0.3">
      <c r="A53" s="46" t="s">
        <v>40</v>
      </c>
      <c r="B53" s="84" t="e">
        <f>#REF!+F15+J36+J22</f>
        <v>#REF!</v>
      </c>
      <c r="C53" s="11"/>
      <c r="D53" s="11"/>
      <c r="E53" s="11"/>
      <c r="F53" s="11"/>
      <c r="H53" s="11"/>
      <c r="I53" s="11"/>
      <c r="L53" s="11"/>
      <c r="M53" s="11"/>
      <c r="N53" s="11"/>
      <c r="O53" s="11"/>
    </row>
    <row r="54" spans="1:15" ht="15.75" thickBot="1" x14ac:dyDescent="0.3">
      <c r="A54" s="38" t="s">
        <v>38</v>
      </c>
      <c r="B54" s="85">
        <f>C25+B15+H5</f>
        <v>3537.99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  <c r="M55" s="11"/>
      <c r="N55" s="11"/>
      <c r="O55" s="11"/>
    </row>
    <row r="56" spans="1:15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x14ac:dyDescent="0.25">
      <c r="A57" s="11"/>
      <c r="B57" s="11"/>
      <c r="C57" s="11"/>
      <c r="D57" s="11"/>
      <c r="E57" s="11"/>
      <c r="F57" s="11"/>
      <c r="I57" s="11"/>
      <c r="J57" s="11"/>
      <c r="K57" s="11"/>
      <c r="L57" s="11"/>
      <c r="M57" s="11"/>
      <c r="N57" s="11"/>
      <c r="O57" s="11"/>
    </row>
    <row r="58" spans="1:15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A22E-F941-46A6-8A8F-9231E116CC65}">
  <dimension ref="A1:D23"/>
  <sheetViews>
    <sheetView workbookViewId="0"/>
  </sheetViews>
  <sheetFormatPr defaultRowHeight="15" x14ac:dyDescent="0.25"/>
  <cols>
    <col min="1" max="1" width="52.5703125" customWidth="1"/>
    <col min="3" max="3" width="56.5703125" bestFit="1" customWidth="1"/>
    <col min="4" max="4" width="10.28515625" bestFit="1" customWidth="1"/>
  </cols>
  <sheetData>
    <row r="1" spans="1:4" x14ac:dyDescent="0.25">
      <c r="A1" s="140" t="s">
        <v>494</v>
      </c>
      <c r="B1" s="93" t="s">
        <v>487</v>
      </c>
      <c r="C1" s="93" t="s">
        <v>498</v>
      </c>
      <c r="D1" s="92"/>
    </row>
    <row r="2" spans="1:4" x14ac:dyDescent="0.25">
      <c r="A2" s="100" t="s">
        <v>482</v>
      </c>
      <c r="B2" s="28">
        <v>148</v>
      </c>
      <c r="C2" s="28"/>
      <c r="D2" s="90"/>
    </row>
    <row r="3" spans="1:4" x14ac:dyDescent="0.25">
      <c r="A3" s="100" t="s">
        <v>483</v>
      </c>
      <c r="B3" s="28">
        <v>87</v>
      </c>
      <c r="C3" s="28"/>
      <c r="D3" s="90"/>
    </row>
    <row r="4" spans="1:4" x14ac:dyDescent="0.25">
      <c r="A4" s="100"/>
      <c r="C4" s="28"/>
      <c r="D4" s="90"/>
    </row>
    <row r="5" spans="1:4" x14ac:dyDescent="0.25">
      <c r="A5" s="100"/>
      <c r="D5" s="90"/>
    </row>
    <row r="6" spans="1:4" x14ac:dyDescent="0.25">
      <c r="A6" s="100" t="s">
        <v>499</v>
      </c>
      <c r="B6">
        <v>137</v>
      </c>
      <c r="D6" s="90"/>
    </row>
    <row r="7" spans="1:4" x14ac:dyDescent="0.25">
      <c r="A7" s="100" t="s">
        <v>63</v>
      </c>
      <c r="B7" s="28">
        <f>SUM(B2:B6)</f>
        <v>372</v>
      </c>
      <c r="C7" s="28">
        <f>B7-B13</f>
        <v>161.85</v>
      </c>
      <c r="D7" s="90"/>
    </row>
    <row r="8" spans="1:4" x14ac:dyDescent="0.25">
      <c r="A8" s="100"/>
      <c r="D8" s="90"/>
    </row>
    <row r="9" spans="1:4" x14ac:dyDescent="0.25">
      <c r="A9" s="100" t="s">
        <v>495</v>
      </c>
      <c r="B9" s="28">
        <v>104.4</v>
      </c>
      <c r="D9" s="90"/>
    </row>
    <row r="10" spans="1:4" x14ac:dyDescent="0.25">
      <c r="A10" s="218" t="s">
        <v>497</v>
      </c>
      <c r="B10" s="28">
        <v>46.72</v>
      </c>
      <c r="D10" s="90"/>
    </row>
    <row r="11" spans="1:4" x14ac:dyDescent="0.25">
      <c r="A11" s="100" t="s">
        <v>496</v>
      </c>
      <c r="B11" s="28">
        <v>59.03</v>
      </c>
      <c r="D11" s="90"/>
    </row>
    <row r="12" spans="1:4" x14ac:dyDescent="0.25">
      <c r="A12" s="100"/>
      <c r="B12" s="28"/>
      <c r="D12" s="90"/>
    </row>
    <row r="13" spans="1:4" ht="15.75" thickBot="1" x14ac:dyDescent="0.3">
      <c r="A13" s="99" t="s">
        <v>34</v>
      </c>
      <c r="B13" s="207">
        <f>SUM(B9:B11)</f>
        <v>210.15</v>
      </c>
      <c r="C13" s="88"/>
      <c r="D13" s="87"/>
    </row>
    <row r="14" spans="1:4" x14ac:dyDescent="0.25">
      <c r="B14" s="28"/>
    </row>
    <row r="15" spans="1:4" x14ac:dyDescent="0.25">
      <c r="B15" s="28"/>
    </row>
    <row r="16" spans="1:4" x14ac:dyDescent="0.25">
      <c r="B16" s="28"/>
    </row>
    <row r="17" spans="1:2" x14ac:dyDescent="0.25">
      <c r="B17" s="28"/>
    </row>
    <row r="18" spans="1:2" x14ac:dyDescent="0.25">
      <c r="B18" s="28"/>
    </row>
    <row r="19" spans="1:2" ht="15.75" thickBot="1" x14ac:dyDescent="0.3">
      <c r="B19" s="28"/>
    </row>
    <row r="20" spans="1:2" x14ac:dyDescent="0.25">
      <c r="A20" s="140" t="s">
        <v>500</v>
      </c>
      <c r="B20" s="142">
        <v>5.25</v>
      </c>
    </row>
    <row r="21" spans="1:2" x14ac:dyDescent="0.25">
      <c r="A21" s="100" t="s">
        <v>502</v>
      </c>
      <c r="B21" s="143">
        <v>85</v>
      </c>
    </row>
    <row r="22" spans="1:2" ht="15.75" thickBot="1" x14ac:dyDescent="0.3">
      <c r="A22" s="99" t="s">
        <v>501</v>
      </c>
      <c r="B22" s="144">
        <f>B20*B21</f>
        <v>446.25</v>
      </c>
    </row>
    <row r="23" spans="1:2" x14ac:dyDescent="0.25">
      <c r="B23" s="2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2715-3036-4652-BEB5-98FB96400585}">
  <dimension ref="A1:N59"/>
  <sheetViews>
    <sheetView topLeftCell="A9" zoomScaleNormal="100" workbookViewId="0">
      <selection activeCell="N19" sqref="N19"/>
    </sheetView>
  </sheetViews>
  <sheetFormatPr defaultRowHeight="15" x14ac:dyDescent="0.25"/>
  <cols>
    <col min="1" max="1" width="35.28515625" customWidth="1"/>
    <col min="2" max="2" width="42.42578125" bestFit="1" customWidth="1"/>
    <col min="4" max="4" width="10.7109375" customWidth="1"/>
    <col min="10" max="10" width="41.5703125" customWidth="1"/>
    <col min="11" max="11" width="26.5703125" customWidth="1"/>
    <col min="12" max="12" width="18.140625" customWidth="1"/>
    <col min="13" max="13" width="18.28515625" customWidth="1"/>
    <col min="14" max="14" width="18.42578125" customWidth="1"/>
  </cols>
  <sheetData>
    <row r="1" spans="1:14" x14ac:dyDescent="0.25">
      <c r="A1" t="s">
        <v>485</v>
      </c>
      <c r="B1" t="s">
        <v>488</v>
      </c>
      <c r="C1" t="s">
        <v>486</v>
      </c>
      <c r="D1" t="s">
        <v>487</v>
      </c>
      <c r="E1" t="s">
        <v>522</v>
      </c>
      <c r="F1" t="s">
        <v>525</v>
      </c>
      <c r="G1" t="s">
        <v>45</v>
      </c>
      <c r="J1" t="s">
        <v>526</v>
      </c>
      <c r="M1" t="s">
        <v>530</v>
      </c>
      <c r="N1">
        <v>29000</v>
      </c>
    </row>
    <row r="2" spans="1:14" x14ac:dyDescent="0.25">
      <c r="A2" t="s">
        <v>484</v>
      </c>
      <c r="B2" t="s">
        <v>489</v>
      </c>
      <c r="C2" t="s">
        <v>492</v>
      </c>
      <c r="D2">
        <v>2200</v>
      </c>
      <c r="J2" t="s">
        <v>527</v>
      </c>
      <c r="K2">
        <f>G9</f>
        <v>6117.41</v>
      </c>
      <c r="M2" t="s">
        <v>531</v>
      </c>
      <c r="N2">
        <f>N1-K6</f>
        <v>5180.59</v>
      </c>
    </row>
    <row r="3" spans="1:14" x14ac:dyDescent="0.25">
      <c r="A3" t="s">
        <v>490</v>
      </c>
      <c r="B3" t="s">
        <v>491</v>
      </c>
      <c r="C3" t="s">
        <v>492</v>
      </c>
      <c r="D3" t="s">
        <v>493</v>
      </c>
      <c r="J3" t="s">
        <v>528</v>
      </c>
      <c r="K3" s="219">
        <f>D4</f>
        <v>7331</v>
      </c>
    </row>
    <row r="4" spans="1:14" x14ac:dyDescent="0.25">
      <c r="A4" t="s">
        <v>490</v>
      </c>
      <c r="B4" t="s">
        <v>518</v>
      </c>
      <c r="D4" s="219">
        <v>7331</v>
      </c>
      <c r="E4">
        <v>54.78</v>
      </c>
      <c r="J4" t="s">
        <v>529</v>
      </c>
      <c r="K4">
        <f>D7</f>
        <v>6292</v>
      </c>
    </row>
    <row r="5" spans="1:14" x14ac:dyDescent="0.25">
      <c r="A5" t="s">
        <v>490</v>
      </c>
      <c r="B5" t="s">
        <v>519</v>
      </c>
      <c r="D5">
        <v>9524</v>
      </c>
      <c r="E5">
        <v>71</v>
      </c>
      <c r="J5" t="s">
        <v>532</v>
      </c>
      <c r="K5">
        <v>4079</v>
      </c>
    </row>
    <row r="6" spans="1:14" x14ac:dyDescent="0.25">
      <c r="A6" t="s">
        <v>490</v>
      </c>
      <c r="B6" t="s">
        <v>520</v>
      </c>
      <c r="D6">
        <v>6799</v>
      </c>
      <c r="E6">
        <v>50.8</v>
      </c>
      <c r="J6" t="s">
        <v>63</v>
      </c>
      <c r="K6">
        <f>SUM(K2:K5)</f>
        <v>23819.41</v>
      </c>
    </row>
    <row r="7" spans="1:14" ht="15.75" thickBot="1" x14ac:dyDescent="0.3">
      <c r="A7" t="s">
        <v>490</v>
      </c>
      <c r="B7" t="s">
        <v>521</v>
      </c>
      <c r="D7">
        <v>6292</v>
      </c>
      <c r="E7">
        <v>47.02</v>
      </c>
    </row>
    <row r="8" spans="1:14" x14ac:dyDescent="0.25">
      <c r="J8" s="140"/>
      <c r="K8" s="93"/>
      <c r="L8" s="93" t="s">
        <v>43</v>
      </c>
      <c r="M8" s="92" t="s">
        <v>45</v>
      </c>
    </row>
    <row r="9" spans="1:14" x14ac:dyDescent="0.25">
      <c r="A9" t="s">
        <v>523</v>
      </c>
      <c r="B9" t="s">
        <v>524</v>
      </c>
      <c r="D9">
        <v>7009.91</v>
      </c>
      <c r="F9">
        <v>892.5</v>
      </c>
      <c r="G9">
        <f>D9-F9</f>
        <v>6117.41</v>
      </c>
      <c r="J9" s="100" t="s">
        <v>536</v>
      </c>
      <c r="K9" t="s">
        <v>549</v>
      </c>
      <c r="L9">
        <v>6300</v>
      </c>
      <c r="M9" s="90">
        <f>L9-L34</f>
        <v>2300</v>
      </c>
    </row>
    <row r="10" spans="1:14" x14ac:dyDescent="0.25">
      <c r="J10" s="100" t="s">
        <v>536</v>
      </c>
      <c r="K10" t="s">
        <v>538</v>
      </c>
      <c r="L10">
        <v>2178</v>
      </c>
      <c r="M10" s="90">
        <f>L10-L33</f>
        <v>1338</v>
      </c>
    </row>
    <row r="11" spans="1:14" x14ac:dyDescent="0.25">
      <c r="J11" s="100" t="s">
        <v>536</v>
      </c>
      <c r="K11" t="s">
        <v>537</v>
      </c>
      <c r="L11" s="122">
        <v>27921.7</v>
      </c>
      <c r="M11" s="220">
        <f>L11-L32</f>
        <v>20373.7</v>
      </c>
    </row>
    <row r="12" spans="1:14" ht="15.75" thickBot="1" x14ac:dyDescent="0.3">
      <c r="A12" t="s">
        <v>514</v>
      </c>
      <c r="B12" t="s">
        <v>515</v>
      </c>
      <c r="D12">
        <v>4079</v>
      </c>
      <c r="J12" s="99" t="s">
        <v>539</v>
      </c>
      <c r="K12" s="88"/>
      <c r="L12" s="88">
        <f>SUM(L9:L11)</f>
        <v>36399.699999999997</v>
      </c>
      <c r="M12" s="87">
        <f>L12-L35</f>
        <v>24011.699999999997</v>
      </c>
    </row>
    <row r="13" spans="1:14" ht="15.75" thickBot="1" x14ac:dyDescent="0.3">
      <c r="A13" t="s">
        <v>516</v>
      </c>
      <c r="B13" t="s">
        <v>517</v>
      </c>
      <c r="D13" s="122">
        <f>8434.29 + 900</f>
        <v>9334.2900000000009</v>
      </c>
    </row>
    <row r="14" spans="1:14" x14ac:dyDescent="0.25">
      <c r="J14" s="140"/>
      <c r="K14" s="93"/>
      <c r="L14" s="93" t="s">
        <v>43</v>
      </c>
      <c r="M14" s="92" t="s">
        <v>45</v>
      </c>
    </row>
    <row r="15" spans="1:14" ht="15.75" thickBot="1" x14ac:dyDescent="0.3">
      <c r="J15" s="100" t="s">
        <v>564</v>
      </c>
      <c r="K15" t="s">
        <v>534</v>
      </c>
      <c r="L15">
        <v>5590</v>
      </c>
      <c r="M15" s="90">
        <f>L15</f>
        <v>5590</v>
      </c>
      <c r="N15">
        <v>250</v>
      </c>
    </row>
    <row r="16" spans="1:14" x14ac:dyDescent="0.25">
      <c r="A16" s="140" t="s">
        <v>512</v>
      </c>
      <c r="B16" s="142"/>
      <c r="J16" s="100" t="s">
        <v>564</v>
      </c>
      <c r="K16" t="s">
        <v>510</v>
      </c>
      <c r="L16">
        <v>2220.9</v>
      </c>
      <c r="M16" s="90">
        <f>L16-L33</f>
        <v>1380.9</v>
      </c>
    </row>
    <row r="17" spans="1:14" x14ac:dyDescent="0.25">
      <c r="A17" s="100" t="s">
        <v>503</v>
      </c>
      <c r="B17" s="143">
        <f>3.1*1.6</f>
        <v>4.9600000000000009</v>
      </c>
      <c r="J17" s="100" t="s">
        <v>564</v>
      </c>
      <c r="K17" t="s">
        <v>511</v>
      </c>
      <c r="L17" s="122">
        <v>30675.74</v>
      </c>
      <c r="M17" s="220">
        <f>L17-L32</f>
        <v>23127.74</v>
      </c>
      <c r="N17">
        <v>30676</v>
      </c>
    </row>
    <row r="18" spans="1:14" x14ac:dyDescent="0.25">
      <c r="A18" s="100" t="s">
        <v>504</v>
      </c>
      <c r="B18" s="143">
        <f>4.2*2.8</f>
        <v>11.76</v>
      </c>
      <c r="D18" t="s">
        <v>45</v>
      </c>
      <c r="E18" t="s">
        <v>498</v>
      </c>
      <c r="F18" t="s">
        <v>545</v>
      </c>
      <c r="J18" s="100" t="s">
        <v>564</v>
      </c>
      <c r="K18" t="s">
        <v>547</v>
      </c>
      <c r="M18" s="90"/>
    </row>
    <row r="19" spans="1:14" ht="15.75" thickBot="1" x14ac:dyDescent="0.3">
      <c r="A19" s="100" t="s">
        <v>505</v>
      </c>
      <c r="B19" s="143">
        <f>2*2</f>
        <v>4</v>
      </c>
      <c r="C19" t="s">
        <v>417</v>
      </c>
      <c r="D19">
        <v>150</v>
      </c>
      <c r="E19">
        <f>D19/100*75</f>
        <v>112.5</v>
      </c>
      <c r="F19">
        <f>D19-E19</f>
        <v>37.5</v>
      </c>
      <c r="J19" s="99"/>
      <c r="K19" s="88" t="s">
        <v>63</v>
      </c>
      <c r="L19" s="88">
        <f>SUM(L15:L18)</f>
        <v>38486.639999999999</v>
      </c>
      <c r="M19" s="87">
        <f>L19-L35</f>
        <v>26098.639999999999</v>
      </c>
      <c r="N19" s="122">
        <f>SUM(L17,L16)</f>
        <v>32896.639999999999</v>
      </c>
    </row>
    <row r="20" spans="1:14" ht="15.75" thickBot="1" x14ac:dyDescent="0.3">
      <c r="A20" s="100" t="s">
        <v>506</v>
      </c>
      <c r="B20" s="143">
        <f>2*1</f>
        <v>2</v>
      </c>
    </row>
    <row r="21" spans="1:14" x14ac:dyDescent="0.25">
      <c r="A21" s="100" t="s">
        <v>507</v>
      </c>
      <c r="B21" s="143">
        <f>2*1.3</f>
        <v>2.6</v>
      </c>
      <c r="J21" s="140"/>
      <c r="K21" s="93"/>
      <c r="L21" s="93" t="s">
        <v>477</v>
      </c>
      <c r="M21" s="92" t="s">
        <v>476</v>
      </c>
    </row>
    <row r="22" spans="1:14" x14ac:dyDescent="0.25">
      <c r="A22" s="100" t="s">
        <v>508</v>
      </c>
      <c r="B22" s="143">
        <f>1+2</f>
        <v>3</v>
      </c>
      <c r="J22" s="100" t="s">
        <v>548</v>
      </c>
      <c r="K22" t="s">
        <v>518</v>
      </c>
      <c r="L22">
        <v>5210</v>
      </c>
      <c r="M22" s="90">
        <f>L22-L34</f>
        <v>1210</v>
      </c>
    </row>
    <row r="23" spans="1:14" ht="15.75" thickBot="1" x14ac:dyDescent="0.3">
      <c r="A23" s="99" t="s">
        <v>63</v>
      </c>
      <c r="B23" s="144">
        <f>SUM(B17:B22)</f>
        <v>28.32</v>
      </c>
      <c r="J23" s="100" t="s">
        <v>548</v>
      </c>
      <c r="K23" t="s">
        <v>510</v>
      </c>
      <c r="L23">
        <v>2653</v>
      </c>
      <c r="M23" s="90">
        <f>L23-L33</f>
        <v>1813</v>
      </c>
    </row>
    <row r="24" spans="1:14" x14ac:dyDescent="0.25">
      <c r="J24" s="100" t="s">
        <v>548</v>
      </c>
      <c r="K24" t="s">
        <v>537</v>
      </c>
      <c r="L24">
        <v>29647</v>
      </c>
      <c r="M24" s="90">
        <f>L24-L32</f>
        <v>22099</v>
      </c>
    </row>
    <row r="25" spans="1:14" ht="15.75" thickBot="1" x14ac:dyDescent="0.3">
      <c r="J25" s="99"/>
      <c r="K25" s="88" t="s">
        <v>63</v>
      </c>
      <c r="L25" s="88">
        <f>SUM(L22:L24)</f>
        <v>37510</v>
      </c>
      <c r="M25" s="87">
        <f>L25-L35</f>
        <v>25122</v>
      </c>
    </row>
    <row r="26" spans="1:14" ht="15.75" thickBot="1" x14ac:dyDescent="0.3"/>
    <row r="27" spans="1:14" x14ac:dyDescent="0.25">
      <c r="A27" s="140" t="s">
        <v>509</v>
      </c>
      <c r="B27" s="92"/>
      <c r="J27" t="s">
        <v>550</v>
      </c>
      <c r="L27" s="122">
        <v>1124</v>
      </c>
    </row>
    <row r="28" spans="1:14" x14ac:dyDescent="0.25">
      <c r="A28" s="100" t="s">
        <v>510</v>
      </c>
      <c r="B28" s="90">
        <v>892.5</v>
      </c>
      <c r="C28" t="s">
        <v>540</v>
      </c>
      <c r="D28" t="s">
        <v>541</v>
      </c>
      <c r="E28">
        <v>5072</v>
      </c>
    </row>
    <row r="29" spans="1:14" x14ac:dyDescent="0.25">
      <c r="A29" s="100" t="s">
        <v>511</v>
      </c>
      <c r="B29" s="90">
        <v>1844</v>
      </c>
      <c r="C29" t="s">
        <v>461</v>
      </c>
      <c r="D29" t="s">
        <v>546</v>
      </c>
      <c r="E29">
        <v>6000</v>
      </c>
      <c r="J29" t="s">
        <v>551</v>
      </c>
      <c r="L29" s="122">
        <f>M12+L27</f>
        <v>25135.699999999997</v>
      </c>
      <c r="M29">
        <v>156.44999999999999</v>
      </c>
    </row>
    <row r="30" spans="1:14" ht="15.75" thickBot="1" x14ac:dyDescent="0.3">
      <c r="A30" s="100" t="s">
        <v>513</v>
      </c>
      <c r="B30" s="90">
        <v>2800</v>
      </c>
    </row>
    <row r="31" spans="1:14" x14ac:dyDescent="0.25">
      <c r="A31" s="100"/>
      <c r="B31" s="90"/>
      <c r="K31" s="140" t="s">
        <v>535</v>
      </c>
      <c r="L31" s="92">
        <v>29000</v>
      </c>
    </row>
    <row r="32" spans="1:14" ht="15.75" thickBot="1" x14ac:dyDescent="0.3">
      <c r="A32" s="99" t="s">
        <v>63</v>
      </c>
      <c r="B32" s="87">
        <f>SUM(B28:B30)</f>
        <v>5536.5</v>
      </c>
      <c r="K32" s="100" t="s">
        <v>542</v>
      </c>
      <c r="L32" s="90">
        <v>7548</v>
      </c>
    </row>
    <row r="33" spans="1:12" x14ac:dyDescent="0.25">
      <c r="K33" s="100" t="s">
        <v>543</v>
      </c>
      <c r="L33" s="90">
        <v>840</v>
      </c>
    </row>
    <row r="34" spans="1:12" x14ac:dyDescent="0.25">
      <c r="K34" s="100" t="s">
        <v>544</v>
      </c>
      <c r="L34" s="90">
        <v>4000</v>
      </c>
    </row>
    <row r="35" spans="1:12" x14ac:dyDescent="0.25">
      <c r="B35">
        <f>1080/12</f>
        <v>90</v>
      </c>
      <c r="K35" s="100" t="s">
        <v>42</v>
      </c>
      <c r="L35" s="90">
        <f>SUM(L32:L34)</f>
        <v>12388</v>
      </c>
    </row>
    <row r="36" spans="1:12" x14ac:dyDescent="0.25">
      <c r="B36">
        <f>1235/12</f>
        <v>102.91666666666667</v>
      </c>
      <c r="K36" s="100" t="s">
        <v>565</v>
      </c>
      <c r="L36" s="222">
        <v>725</v>
      </c>
    </row>
    <row r="37" spans="1:12" ht="15.75" thickBot="1" x14ac:dyDescent="0.3">
      <c r="K37" s="99" t="s">
        <v>63</v>
      </c>
      <c r="L37" s="87">
        <f>SUM(L31:L34)</f>
        <v>41388</v>
      </c>
    </row>
    <row r="38" spans="1:12" x14ac:dyDescent="0.25">
      <c r="A38" t="s">
        <v>552</v>
      </c>
      <c r="B38">
        <v>540</v>
      </c>
      <c r="C38">
        <f>B38/12</f>
        <v>45</v>
      </c>
    </row>
    <row r="39" spans="1:12" x14ac:dyDescent="0.25">
      <c r="A39" t="s">
        <v>553</v>
      </c>
      <c r="B39">
        <v>300</v>
      </c>
      <c r="C39">
        <f>B39/12+40</f>
        <v>65</v>
      </c>
    </row>
    <row r="42" spans="1:12" x14ac:dyDescent="0.25">
      <c r="A42" t="s">
        <v>34</v>
      </c>
      <c r="C42">
        <f>SUM(C38:C41)</f>
        <v>110</v>
      </c>
    </row>
    <row r="44" spans="1:12" x14ac:dyDescent="0.25">
      <c r="A44" t="s">
        <v>554</v>
      </c>
      <c r="B44">
        <v>250</v>
      </c>
      <c r="C44">
        <f>B44-C42</f>
        <v>140</v>
      </c>
    </row>
    <row r="46" spans="1:12" x14ac:dyDescent="0.25">
      <c r="A46" t="s">
        <v>556</v>
      </c>
      <c r="B46">
        <v>1900</v>
      </c>
    </row>
    <row r="47" spans="1:12" x14ac:dyDescent="0.25">
      <c r="A47" t="s">
        <v>555</v>
      </c>
      <c r="B47">
        <v>1591</v>
      </c>
    </row>
    <row r="48" spans="1:12" x14ac:dyDescent="0.25">
      <c r="A48" t="s">
        <v>557</v>
      </c>
      <c r="B48">
        <v>933</v>
      </c>
    </row>
    <row r="49" spans="1:2" x14ac:dyDescent="0.25">
      <c r="A49" t="s">
        <v>558</v>
      </c>
      <c r="B49">
        <v>709</v>
      </c>
    </row>
    <row r="50" spans="1:2" x14ac:dyDescent="0.25">
      <c r="A50" t="s">
        <v>559</v>
      </c>
      <c r="B50">
        <f>245+244</f>
        <v>489</v>
      </c>
    </row>
    <row r="51" spans="1:2" x14ac:dyDescent="0.25">
      <c r="A51" t="s">
        <v>560</v>
      </c>
      <c r="B51">
        <f>87+146</f>
        <v>233</v>
      </c>
    </row>
    <row r="53" spans="1:2" x14ac:dyDescent="0.25">
      <c r="A53" t="s">
        <v>63</v>
      </c>
      <c r="B53">
        <f>SUM(B46:B49)-B50-B51</f>
        <v>4411</v>
      </c>
    </row>
    <row r="55" spans="1:2" x14ac:dyDescent="0.25">
      <c r="A55" t="s">
        <v>561</v>
      </c>
      <c r="B55">
        <v>406</v>
      </c>
    </row>
    <row r="56" spans="1:2" x14ac:dyDescent="0.25">
      <c r="A56" t="s">
        <v>562</v>
      </c>
      <c r="B56">
        <v>582</v>
      </c>
    </row>
    <row r="57" spans="1:2" x14ac:dyDescent="0.25">
      <c r="A57" t="s">
        <v>563</v>
      </c>
      <c r="B57">
        <f>23+18</f>
        <v>41</v>
      </c>
    </row>
    <row r="59" spans="1:2" x14ac:dyDescent="0.25">
      <c r="A59" t="s">
        <v>34</v>
      </c>
      <c r="B59">
        <f>SUM(B55:B56)-B57</f>
        <v>947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2F89-6784-43F4-BB57-2FAF245D5DCF}">
  <dimension ref="A1:U79"/>
  <sheetViews>
    <sheetView zoomScale="70" zoomScaleNormal="70" workbookViewId="0">
      <selection activeCell="J4" sqref="J4"/>
    </sheetView>
  </sheetViews>
  <sheetFormatPr defaultRowHeight="15" x14ac:dyDescent="0.25"/>
  <cols>
    <col min="1" max="1" width="35.140625" bestFit="1" customWidth="1"/>
    <col min="2" max="2" width="10.140625" bestFit="1" customWidth="1"/>
    <col min="3" max="3" width="17.5703125" bestFit="1" customWidth="1"/>
    <col min="4" max="4" width="9.5703125" bestFit="1" customWidth="1"/>
    <col min="5" max="5" width="12.5703125" bestFit="1" customWidth="1"/>
    <col min="6" max="6" width="7.140625" bestFit="1" customWidth="1"/>
    <col min="7" max="7" width="22.85546875" bestFit="1" customWidth="1"/>
    <col min="8" max="8" width="9.7109375" bestFit="1" customWidth="1"/>
    <col min="9" max="9" width="39.140625" bestFit="1" customWidth="1"/>
    <col min="10" max="10" width="10.5703125" bestFit="1" customWidth="1"/>
    <col min="12" max="12" width="22" customWidth="1"/>
    <col min="13" max="13" width="35.42578125" bestFit="1" customWidth="1"/>
    <col min="14" max="14" width="12.28515625" bestFit="1" customWidth="1"/>
    <col min="15" max="15" width="19.28515625" bestFit="1" customWidth="1"/>
    <col min="16" max="16" width="11.28515625" bestFit="1" customWidth="1"/>
    <col min="18" max="18" width="22.7109375" customWidth="1"/>
    <col min="19" max="19" width="9.42578125" bestFit="1" customWidth="1"/>
  </cols>
  <sheetData>
    <row r="1" spans="1:21" ht="15.75" thickBot="1" x14ac:dyDescent="0.3">
      <c r="A1" s="1" t="s">
        <v>0</v>
      </c>
      <c r="B1" s="2"/>
      <c r="C1" s="3" t="s">
        <v>1</v>
      </c>
      <c r="D1" s="4"/>
      <c r="E1" s="5" t="s">
        <v>2</v>
      </c>
      <c r="F1" s="6"/>
      <c r="G1" s="7" t="s">
        <v>3</v>
      </c>
      <c r="H1" s="8"/>
      <c r="I1" s="9" t="s">
        <v>4</v>
      </c>
      <c r="J1" s="10"/>
      <c r="K1" s="11"/>
      <c r="L1" s="11"/>
      <c r="M1" s="11"/>
      <c r="N1" s="11"/>
      <c r="O1" s="11"/>
    </row>
    <row r="2" spans="1:21" x14ac:dyDescent="0.25">
      <c r="A2" s="12" t="s">
        <v>5</v>
      </c>
      <c r="B2" s="13">
        <v>0</v>
      </c>
      <c r="C2" s="14" t="s">
        <v>6</v>
      </c>
      <c r="D2" s="15">
        <f>3740+800</f>
        <v>4540</v>
      </c>
      <c r="E2" s="16" t="s">
        <v>7</v>
      </c>
      <c r="F2" s="17">
        <v>10</v>
      </c>
      <c r="G2" s="18" t="s">
        <v>8</v>
      </c>
      <c r="H2" s="19">
        <v>0</v>
      </c>
      <c r="I2" s="20" t="s">
        <v>9</v>
      </c>
      <c r="J2" s="21">
        <v>1256.0899999999999</v>
      </c>
      <c r="K2" s="11"/>
      <c r="L2" s="22"/>
      <c r="M2" s="23" t="s">
        <v>10</v>
      </c>
      <c r="N2" s="11"/>
      <c r="P2" s="11"/>
    </row>
    <row r="3" spans="1:21" x14ac:dyDescent="0.25">
      <c r="A3" s="12" t="s">
        <v>11</v>
      </c>
      <c r="B3" s="13">
        <v>0</v>
      </c>
      <c r="C3" s="14" t="s">
        <v>12</v>
      </c>
      <c r="D3" s="15">
        <v>568</v>
      </c>
      <c r="E3" s="16" t="s">
        <v>380</v>
      </c>
      <c r="F3" s="17">
        <v>10</v>
      </c>
      <c r="G3" s="18" t="s">
        <v>13</v>
      </c>
      <c r="H3" s="19">
        <v>0</v>
      </c>
      <c r="I3" s="20" t="s">
        <v>14</v>
      </c>
      <c r="J3" s="21">
        <f>Basistabel!J3</f>
        <v>250</v>
      </c>
      <c r="K3" s="11"/>
      <c r="L3" s="24"/>
      <c r="M3" s="25" t="s">
        <v>15</v>
      </c>
      <c r="N3" s="11"/>
      <c r="P3" s="11"/>
    </row>
    <row r="4" spans="1:21" x14ac:dyDescent="0.25">
      <c r="A4" s="12"/>
      <c r="B4" s="13"/>
      <c r="C4" s="14" t="s">
        <v>16</v>
      </c>
      <c r="D4" s="15"/>
      <c r="E4" s="16" t="s">
        <v>384</v>
      </c>
      <c r="F4" s="17">
        <v>224.2</v>
      </c>
      <c r="G4" s="18" t="s">
        <v>17</v>
      </c>
      <c r="H4" s="19">
        <v>0</v>
      </c>
      <c r="I4" s="20" t="s">
        <v>18</v>
      </c>
      <c r="J4" s="21">
        <v>42.5</v>
      </c>
      <c r="K4" s="11"/>
      <c r="L4" s="24" t="s">
        <v>19</v>
      </c>
      <c r="M4" s="25">
        <v>259</v>
      </c>
      <c r="N4" s="11"/>
      <c r="O4" s="11"/>
    </row>
    <row r="5" spans="1:21" x14ac:dyDescent="0.25">
      <c r="A5" s="12"/>
      <c r="B5" s="13"/>
      <c r="C5" s="14" t="s">
        <v>20</v>
      </c>
      <c r="D5" s="15"/>
      <c r="E5" s="16" t="s">
        <v>385</v>
      </c>
      <c r="F5" s="17">
        <v>420</v>
      </c>
      <c r="G5" s="18" t="s">
        <v>21</v>
      </c>
      <c r="H5" s="19">
        <v>0</v>
      </c>
      <c r="I5" s="20" t="s">
        <v>22</v>
      </c>
      <c r="J5" s="21">
        <v>33.76</v>
      </c>
      <c r="K5" s="11"/>
      <c r="L5" s="24" t="s">
        <v>23</v>
      </c>
      <c r="M5" s="25">
        <v>200</v>
      </c>
      <c r="N5" s="11"/>
      <c r="O5" s="11"/>
    </row>
    <row r="6" spans="1:21" ht="15.75" thickBot="1" x14ac:dyDescent="0.3">
      <c r="A6" s="12"/>
      <c r="B6" s="13"/>
      <c r="C6" s="14" t="s">
        <v>24</v>
      </c>
      <c r="D6" s="15">
        <v>0</v>
      </c>
      <c r="E6" s="16"/>
      <c r="F6" s="17"/>
      <c r="G6" s="18"/>
      <c r="H6" s="19"/>
      <c r="I6" s="20" t="s">
        <v>25</v>
      </c>
      <c r="J6" s="21">
        <v>60</v>
      </c>
      <c r="K6" s="11"/>
      <c r="L6" s="26" t="s">
        <v>26</v>
      </c>
      <c r="M6" s="27">
        <v>200</v>
      </c>
      <c r="N6" s="11"/>
      <c r="O6" s="11"/>
    </row>
    <row r="7" spans="1:21" ht="15.75" thickBot="1" x14ac:dyDescent="0.3">
      <c r="A7" s="12"/>
      <c r="B7" s="13"/>
      <c r="C7" s="14"/>
      <c r="D7" s="15"/>
      <c r="E7" s="16"/>
      <c r="F7" s="17"/>
      <c r="G7" s="18"/>
      <c r="H7" s="19"/>
      <c r="I7" s="20" t="s">
        <v>27</v>
      </c>
      <c r="J7" s="21">
        <v>72.66</v>
      </c>
      <c r="K7" s="11"/>
      <c r="L7" s="11"/>
      <c r="M7" s="11"/>
      <c r="N7" s="11"/>
      <c r="O7" s="11"/>
    </row>
    <row r="8" spans="1:21" x14ac:dyDescent="0.25">
      <c r="A8" s="12"/>
      <c r="B8" s="13"/>
      <c r="C8" s="14"/>
      <c r="D8" s="15"/>
      <c r="E8" s="16"/>
      <c r="F8" s="17"/>
      <c r="G8" s="18"/>
      <c r="H8" s="19"/>
      <c r="I8" s="20" t="s">
        <v>28</v>
      </c>
      <c r="J8" s="21">
        <v>39.24</v>
      </c>
      <c r="K8" s="11"/>
      <c r="L8" s="22"/>
      <c r="M8" s="23" t="s">
        <v>10</v>
      </c>
      <c r="N8" s="11"/>
      <c r="O8" s="11"/>
    </row>
    <row r="9" spans="1:21" x14ac:dyDescent="0.25">
      <c r="A9" s="12"/>
      <c r="B9" s="13"/>
      <c r="C9" s="14"/>
      <c r="D9" s="15"/>
      <c r="E9" s="16"/>
      <c r="F9" s="17"/>
      <c r="G9" s="18"/>
      <c r="H9" s="19"/>
      <c r="I9" s="20" t="s">
        <v>29</v>
      </c>
      <c r="J9" s="21">
        <v>184.78</v>
      </c>
      <c r="K9" s="11"/>
      <c r="L9" s="24"/>
      <c r="M9" s="25" t="s">
        <v>30</v>
      </c>
      <c r="N9" s="11"/>
      <c r="O9" s="11"/>
      <c r="P9" s="28"/>
    </row>
    <row r="10" spans="1:21" x14ac:dyDescent="0.25">
      <c r="A10" s="12"/>
      <c r="B10" s="13"/>
      <c r="C10" s="14"/>
      <c r="D10" s="15"/>
      <c r="E10" s="16"/>
      <c r="F10" s="17"/>
      <c r="G10" s="18"/>
      <c r="H10" s="19"/>
      <c r="I10" s="20" t="s">
        <v>31</v>
      </c>
      <c r="J10" s="21">
        <v>40</v>
      </c>
      <c r="K10" s="11"/>
      <c r="L10" s="24" t="s">
        <v>19</v>
      </c>
      <c r="M10" s="25">
        <v>468</v>
      </c>
      <c r="N10" s="11"/>
      <c r="O10" s="11"/>
    </row>
    <row r="11" spans="1:21" x14ac:dyDescent="0.25">
      <c r="A11" s="12"/>
      <c r="B11" s="13"/>
      <c r="C11" s="14"/>
      <c r="D11" s="15"/>
      <c r="E11" s="16"/>
      <c r="F11" s="17"/>
      <c r="G11" s="18"/>
      <c r="H11" s="19"/>
      <c r="I11" s="20" t="s">
        <v>32</v>
      </c>
      <c r="J11" s="21">
        <v>70</v>
      </c>
      <c r="K11" s="11"/>
      <c r="L11" s="24" t="s">
        <v>23</v>
      </c>
      <c r="M11" s="25">
        <v>468</v>
      </c>
      <c r="N11" s="11"/>
      <c r="O11" s="11"/>
    </row>
    <row r="12" spans="1:21" ht="15.75" thickBot="1" x14ac:dyDescent="0.3">
      <c r="A12" s="12"/>
      <c r="B12" s="13"/>
      <c r="C12" s="14"/>
      <c r="D12" s="15"/>
      <c r="E12" s="16"/>
      <c r="F12" s="17"/>
      <c r="G12" s="18"/>
      <c r="H12" s="19"/>
      <c r="I12" s="20" t="s">
        <v>33</v>
      </c>
      <c r="J12" s="21">
        <v>10.93</v>
      </c>
      <c r="K12" s="11"/>
      <c r="L12" s="26" t="s">
        <v>26</v>
      </c>
      <c r="M12" s="27">
        <v>200</v>
      </c>
      <c r="N12" s="11"/>
      <c r="O12" s="11"/>
    </row>
    <row r="13" spans="1:21" x14ac:dyDescent="0.25">
      <c r="A13" s="12"/>
      <c r="B13" s="13"/>
      <c r="C13" s="14"/>
      <c r="D13" s="15"/>
      <c r="E13" s="16"/>
      <c r="F13" s="17"/>
      <c r="G13" s="18"/>
      <c r="H13" s="19"/>
      <c r="I13" s="29" t="s">
        <v>39</v>
      </c>
      <c r="J13" s="21">
        <v>32</v>
      </c>
      <c r="K13" s="11"/>
      <c r="L13" s="11"/>
      <c r="M13" s="11"/>
      <c r="N13" s="11"/>
      <c r="O13" s="11"/>
    </row>
    <row r="14" spans="1:21" ht="15.75" thickBot="1" x14ac:dyDescent="0.3">
      <c r="A14" s="30"/>
      <c r="B14" s="31"/>
      <c r="C14" s="32"/>
      <c r="D14" s="33"/>
      <c r="E14" s="34"/>
      <c r="F14" s="35"/>
      <c r="G14" s="36"/>
      <c r="H14" s="37"/>
      <c r="I14" s="29"/>
      <c r="J14" s="21"/>
      <c r="K14" s="11"/>
      <c r="L14" s="11"/>
      <c r="O14" s="11"/>
      <c r="R14" s="11"/>
      <c r="S14" s="11"/>
      <c r="T14" s="11"/>
    </row>
    <row r="15" spans="1:21" ht="15.75" thickBot="1" x14ac:dyDescent="0.3">
      <c r="A15" s="38" t="s">
        <v>35</v>
      </c>
      <c r="B15" s="39">
        <f>SUM(B2:B14)</f>
        <v>0</v>
      </c>
      <c r="C15" s="38" t="s">
        <v>34</v>
      </c>
      <c r="D15" s="39">
        <f>SUM(D2:D14)</f>
        <v>5108</v>
      </c>
      <c r="E15" s="38" t="s">
        <v>34</v>
      </c>
      <c r="F15" s="40">
        <f>SUM(F2:F14)</f>
        <v>664.2</v>
      </c>
      <c r="G15" s="38" t="s">
        <v>36</v>
      </c>
      <c r="H15" s="41">
        <f>H2+H3+H4+H5+H6+H7+H8</f>
        <v>0</v>
      </c>
      <c r="I15" s="29" t="s">
        <v>377</v>
      </c>
      <c r="J15" s="21">
        <v>22</v>
      </c>
      <c r="K15" s="11"/>
      <c r="L15" s="11"/>
      <c r="R15" s="11"/>
      <c r="S15" s="11"/>
      <c r="T15" s="11"/>
      <c r="U15" s="28"/>
    </row>
    <row r="16" spans="1:21" ht="15.75" thickBot="1" x14ac:dyDescent="0.3">
      <c r="A16" s="11"/>
      <c r="B16" s="11"/>
      <c r="C16" s="11"/>
      <c r="D16" s="11"/>
      <c r="E16" s="11"/>
      <c r="F16" s="11"/>
      <c r="G16" s="11"/>
      <c r="H16" s="11"/>
      <c r="I16" s="29" t="s">
        <v>392</v>
      </c>
      <c r="J16" s="21">
        <v>77</v>
      </c>
      <c r="K16" s="11"/>
      <c r="L16" s="11"/>
      <c r="R16" s="11"/>
      <c r="S16" s="11"/>
      <c r="T16" s="11"/>
    </row>
    <row r="17" spans="1:21" x14ac:dyDescent="0.25">
      <c r="A17" s="42" t="s">
        <v>38</v>
      </c>
      <c r="B17" s="43"/>
      <c r="C17" s="44">
        <f>D15</f>
        <v>5108</v>
      </c>
      <c r="D17" s="45">
        <f>(D15*1.02)+125</f>
        <v>5335.16</v>
      </c>
      <c r="E17" s="45">
        <f>(D17*1.02)+125</f>
        <v>5566.8631999999998</v>
      </c>
      <c r="F17" s="11"/>
      <c r="G17" s="11"/>
      <c r="H17" s="11"/>
      <c r="I17" s="29" t="s">
        <v>383</v>
      </c>
      <c r="J17" s="21">
        <f>663+55</f>
        <v>718</v>
      </c>
      <c r="K17" s="11"/>
      <c r="L17" s="11"/>
      <c r="R17" s="11"/>
      <c r="S17" s="11"/>
      <c r="T17" s="11"/>
    </row>
    <row r="18" spans="1:21" x14ac:dyDescent="0.25">
      <c r="A18" s="46"/>
      <c r="B18" s="47"/>
      <c r="C18" s="48"/>
      <c r="D18" s="49"/>
      <c r="E18" s="49"/>
      <c r="F18" s="11"/>
      <c r="G18" s="11"/>
      <c r="H18" s="11"/>
      <c r="I18" s="29" t="s">
        <v>381</v>
      </c>
      <c r="J18" s="21">
        <v>184.78</v>
      </c>
      <c r="K18" s="11"/>
      <c r="L18" s="11"/>
      <c r="R18" s="11"/>
      <c r="S18" s="11"/>
      <c r="T18" s="11"/>
      <c r="U18" s="28"/>
    </row>
    <row r="19" spans="1:21" x14ac:dyDescent="0.25">
      <c r="A19" s="46" t="s">
        <v>40</v>
      </c>
      <c r="B19" s="47"/>
      <c r="C19" s="48">
        <f>F15+J36+J22</f>
        <v>5257.44</v>
      </c>
      <c r="D19" s="49">
        <f>F15+J36+J22</f>
        <v>5257.44</v>
      </c>
      <c r="E19" s="49">
        <f>F15+J36+J22</f>
        <v>5257.44</v>
      </c>
      <c r="F19" s="11"/>
      <c r="G19" s="11"/>
      <c r="H19" s="11"/>
      <c r="I19" s="29" t="s">
        <v>382</v>
      </c>
      <c r="J19" s="21">
        <f>2*117</f>
        <v>234</v>
      </c>
      <c r="K19" s="11"/>
      <c r="L19" s="11"/>
      <c r="R19" s="11"/>
      <c r="S19" s="11"/>
      <c r="T19" s="11"/>
    </row>
    <row r="20" spans="1:21" x14ac:dyDescent="0.25">
      <c r="A20" s="46"/>
      <c r="B20" s="47"/>
      <c r="C20" s="48"/>
      <c r="D20" s="49"/>
      <c r="E20" s="49"/>
      <c r="F20" s="11"/>
      <c r="G20" s="11"/>
      <c r="H20" s="11"/>
      <c r="I20" s="29" t="s">
        <v>393</v>
      </c>
      <c r="J20" s="21">
        <v>69</v>
      </c>
      <c r="R20" s="11"/>
      <c r="S20" s="11"/>
      <c r="T20" s="11"/>
    </row>
    <row r="21" spans="1:21" ht="15.75" thickBot="1" x14ac:dyDescent="0.3">
      <c r="A21" s="50" t="s">
        <v>41</v>
      </c>
      <c r="B21" s="51"/>
      <c r="C21" s="52">
        <f>C17-C19</f>
        <v>-149.4399999999996</v>
      </c>
      <c r="D21" s="53">
        <f>D17-D19</f>
        <v>77.720000000000255</v>
      </c>
      <c r="E21" s="53">
        <f t="shared" ref="E21" si="0">E17-E19</f>
        <v>309.42320000000018</v>
      </c>
      <c r="F21" s="11"/>
      <c r="G21" s="11" t="s">
        <v>70</v>
      </c>
      <c r="H21" s="11">
        <v>8774</v>
      </c>
      <c r="I21" s="158" t="s">
        <v>394</v>
      </c>
      <c r="J21" s="159">
        <f>22+30+78+25+56+100+15+76+65+33</f>
        <v>500</v>
      </c>
      <c r="R21" s="11"/>
      <c r="S21" s="11"/>
      <c r="T21" s="11"/>
      <c r="U21" s="28"/>
    </row>
    <row r="22" spans="1:21" ht="15.75" thickBot="1" x14ac:dyDescent="0.3">
      <c r="A22" s="11"/>
      <c r="B22" s="11"/>
      <c r="C22" s="56"/>
      <c r="D22" s="56"/>
      <c r="E22" s="56"/>
      <c r="F22" s="11"/>
      <c r="G22" s="11"/>
      <c r="H22" s="11"/>
      <c r="I22" s="38" t="s">
        <v>42</v>
      </c>
      <c r="J22" s="57">
        <f>SUM(J2:J21)</f>
        <v>3896.74</v>
      </c>
      <c r="K22" s="11"/>
      <c r="L22" s="11"/>
      <c r="R22" s="11"/>
      <c r="S22" s="11"/>
      <c r="T22" s="11"/>
    </row>
    <row r="23" spans="1:21" ht="15.75" thickBot="1" x14ac:dyDescent="0.3">
      <c r="A23" s="11"/>
      <c r="B23" s="11"/>
      <c r="C23" s="58"/>
      <c r="D23" s="11"/>
      <c r="E23" s="56"/>
      <c r="F23" s="11"/>
      <c r="G23" s="11"/>
      <c r="H23" s="11"/>
      <c r="I23" s="11"/>
      <c r="J23" s="11"/>
      <c r="K23" s="11"/>
      <c r="L23" s="11"/>
      <c r="R23" s="11"/>
      <c r="S23" s="11"/>
      <c r="T23" s="11"/>
    </row>
    <row r="24" spans="1:21" x14ac:dyDescent="0.25">
      <c r="A24" s="59" t="s">
        <v>43</v>
      </c>
      <c r="B24" s="45"/>
      <c r="C24" s="60">
        <v>6219</v>
      </c>
      <c r="D24" s="61">
        <v>6343.38</v>
      </c>
      <c r="E24" s="61">
        <v>6470.2</v>
      </c>
      <c r="F24" s="11"/>
      <c r="G24" s="11"/>
      <c r="H24" s="11"/>
      <c r="I24" s="62" t="s">
        <v>44</v>
      </c>
      <c r="J24" s="63">
        <v>80</v>
      </c>
      <c r="K24" s="11"/>
      <c r="L24" s="11"/>
      <c r="R24" s="11"/>
      <c r="S24" s="11"/>
      <c r="T24" s="11"/>
      <c r="U24" s="28"/>
    </row>
    <row r="25" spans="1:21" x14ac:dyDescent="0.25">
      <c r="A25" s="64" t="s">
        <v>45</v>
      </c>
      <c r="B25" s="49"/>
      <c r="C25" s="65">
        <f>3537.99</f>
        <v>3537.99</v>
      </c>
      <c r="D25" s="64">
        <f>D17</f>
        <v>5335.16</v>
      </c>
      <c r="E25" s="64">
        <f>E17</f>
        <v>5566.8631999999998</v>
      </c>
      <c r="F25" s="11"/>
      <c r="G25" s="11"/>
      <c r="H25" s="11"/>
      <c r="I25" s="66" t="s">
        <v>46</v>
      </c>
      <c r="J25" s="67">
        <v>0</v>
      </c>
      <c r="K25" s="11"/>
      <c r="L25" s="11"/>
      <c r="R25" s="11"/>
      <c r="S25" s="11"/>
      <c r="T25" s="11"/>
    </row>
    <row r="26" spans="1:21" ht="15.75" thickBot="1" x14ac:dyDescent="0.3">
      <c r="A26" s="64" t="s">
        <v>47</v>
      </c>
      <c r="B26" s="49"/>
      <c r="C26" s="65">
        <f>C24-C25</f>
        <v>2681.01</v>
      </c>
      <c r="D26" s="64">
        <f>D24-D25</f>
        <v>1008.2200000000003</v>
      </c>
      <c r="E26" s="64">
        <f t="shared" ref="E26" si="1">E24-E25</f>
        <v>903.33680000000004</v>
      </c>
      <c r="F26" s="11"/>
      <c r="G26" s="11"/>
      <c r="H26" s="11"/>
      <c r="I26" s="66" t="s">
        <v>48</v>
      </c>
      <c r="J26" s="67">
        <v>600</v>
      </c>
      <c r="K26" s="11"/>
      <c r="L26" s="11"/>
      <c r="R26" s="11"/>
      <c r="S26" s="11"/>
      <c r="T26" s="11"/>
    </row>
    <row r="27" spans="1:21" ht="15.75" thickBot="1" x14ac:dyDescent="0.3">
      <c r="A27" s="68" t="s">
        <v>49</v>
      </c>
      <c r="B27" s="69"/>
      <c r="C27" s="70">
        <v>2539.41</v>
      </c>
      <c r="D27" s="71">
        <v>2700</v>
      </c>
      <c r="E27" s="71">
        <v>2900</v>
      </c>
      <c r="F27" s="56"/>
      <c r="G27" s="56"/>
      <c r="H27" s="56"/>
      <c r="I27" s="72"/>
      <c r="J27" s="73"/>
      <c r="K27" s="11"/>
      <c r="R27" s="11"/>
      <c r="S27" s="11"/>
      <c r="T27" s="11"/>
      <c r="U27" s="28"/>
    </row>
    <row r="28" spans="1:21" ht="15.75" thickBot="1" x14ac:dyDescent="0.3">
      <c r="A28" s="64" t="s">
        <v>50</v>
      </c>
      <c r="B28" s="59"/>
      <c r="C28" s="65"/>
      <c r="D28" s="64">
        <f>D25-$C25</f>
        <v>1797.17</v>
      </c>
      <c r="E28" s="64">
        <f>E25-$D25</f>
        <v>231.70319999999992</v>
      </c>
      <c r="F28" s="56"/>
      <c r="G28" s="56"/>
      <c r="H28" s="56"/>
      <c r="I28" s="74"/>
      <c r="J28" s="75"/>
      <c r="K28" s="11"/>
      <c r="R28" s="11"/>
      <c r="S28" s="11"/>
      <c r="T28" s="11"/>
    </row>
    <row r="29" spans="1:21" ht="15.75" thickBot="1" x14ac:dyDescent="0.3">
      <c r="A29" s="68" t="s">
        <v>51</v>
      </c>
      <c r="B29" s="68"/>
      <c r="C29" s="70">
        <f>D3</f>
        <v>568</v>
      </c>
      <c r="D29" s="70">
        <f>D3</f>
        <v>568</v>
      </c>
      <c r="E29" s="70">
        <f>D3</f>
        <v>568</v>
      </c>
      <c r="F29" s="56"/>
      <c r="G29" s="56"/>
      <c r="H29" s="56"/>
      <c r="I29" s="74"/>
      <c r="J29" s="75"/>
      <c r="K29" s="11">
        <v>214</v>
      </c>
      <c r="L29">
        <v>3</v>
      </c>
      <c r="R29" s="11"/>
      <c r="S29" s="11"/>
      <c r="T29" s="11"/>
    </row>
    <row r="30" spans="1:21" ht="15.75" thickBot="1" x14ac:dyDescent="0.3">
      <c r="A30" s="68" t="s">
        <v>53</v>
      </c>
      <c r="B30" s="68"/>
      <c r="C30" s="70">
        <v>1000</v>
      </c>
      <c r="D30" s="76">
        <v>1000</v>
      </c>
      <c r="E30" s="68">
        <v>1000</v>
      </c>
      <c r="F30" s="56"/>
      <c r="G30" s="56"/>
      <c r="H30" s="56"/>
      <c r="I30" s="74" t="s">
        <v>71</v>
      </c>
      <c r="J30" s="75">
        <f>6.5+5+5</f>
        <v>16.5</v>
      </c>
      <c r="K30" s="11"/>
      <c r="R30" s="11"/>
      <c r="S30" s="11"/>
      <c r="T30" s="11"/>
      <c r="U30" s="28"/>
    </row>
    <row r="31" spans="1:21" ht="15.75" thickBot="1" x14ac:dyDescent="0.3">
      <c r="A31" s="68" t="s">
        <v>54</v>
      </c>
      <c r="B31" s="68"/>
      <c r="C31" s="70">
        <v>605</v>
      </c>
      <c r="D31" s="71">
        <v>605</v>
      </c>
      <c r="E31" s="71">
        <v>605</v>
      </c>
      <c r="F31" s="56"/>
      <c r="G31" s="56"/>
      <c r="H31" s="56"/>
      <c r="I31" s="74" t="s">
        <v>55</v>
      </c>
      <c r="J31" s="75"/>
      <c r="K31" s="11"/>
      <c r="R31" s="11"/>
      <c r="S31" s="11"/>
      <c r="T31" s="11"/>
    </row>
    <row r="32" spans="1:21" ht="15.75" thickBot="1" x14ac:dyDescent="0.3">
      <c r="A32" s="68" t="s">
        <v>56</v>
      </c>
      <c r="B32" s="68"/>
      <c r="C32" s="70">
        <v>77550</v>
      </c>
      <c r="D32" s="70">
        <v>79101</v>
      </c>
      <c r="E32" s="70">
        <v>80683.02</v>
      </c>
      <c r="F32" s="56"/>
      <c r="G32" s="56"/>
      <c r="H32" s="56"/>
      <c r="I32" s="74"/>
      <c r="J32" s="75"/>
      <c r="K32" s="75">
        <v>423.51</v>
      </c>
      <c r="L32" t="s">
        <v>378</v>
      </c>
      <c r="R32" s="11"/>
      <c r="S32" s="11"/>
      <c r="T32" s="11"/>
    </row>
    <row r="33" spans="1:21" ht="15.75" thickBot="1" x14ac:dyDescent="0.3">
      <c r="A33" s="68" t="s">
        <v>58</v>
      </c>
      <c r="B33" s="68"/>
      <c r="C33" s="70">
        <v>25708</v>
      </c>
      <c r="D33" s="68">
        <v>26221</v>
      </c>
      <c r="E33" s="68">
        <v>26746</v>
      </c>
      <c r="F33" s="56"/>
      <c r="G33" s="56"/>
      <c r="H33" s="56"/>
      <c r="I33" s="74"/>
      <c r="J33" s="75"/>
      <c r="K33" s="11"/>
      <c r="R33" s="11"/>
      <c r="S33" s="11"/>
      <c r="T33" s="11"/>
      <c r="U33" s="28"/>
    </row>
    <row r="34" spans="1:21" x14ac:dyDescent="0.25">
      <c r="A34" s="59" t="s">
        <v>60</v>
      </c>
      <c r="B34" s="59"/>
      <c r="C34" s="77">
        <f t="shared" ref="C34:E34" si="2">C32</f>
        <v>77550</v>
      </c>
      <c r="D34" s="59">
        <f t="shared" si="2"/>
        <v>79101</v>
      </c>
      <c r="E34" s="59">
        <f t="shared" si="2"/>
        <v>80683.02</v>
      </c>
      <c r="F34" s="56"/>
      <c r="G34" s="56"/>
      <c r="H34" s="56"/>
      <c r="I34" s="74"/>
      <c r="J34" s="75"/>
      <c r="K34" s="11"/>
      <c r="R34" s="11"/>
      <c r="S34" s="11"/>
      <c r="T34" s="11"/>
    </row>
    <row r="35" spans="1:21" ht="15.75" thickBot="1" x14ac:dyDescent="0.3">
      <c r="A35" s="64" t="s">
        <v>61</v>
      </c>
      <c r="B35" s="64"/>
      <c r="C35" s="65">
        <f>(J2*12)-(C29*12)</f>
        <v>8257.0799999999981</v>
      </c>
      <c r="D35" s="65">
        <f>J2*12</f>
        <v>15073.079999999998</v>
      </c>
      <c r="E35" s="65">
        <f>J2*12</f>
        <v>15073.079999999998</v>
      </c>
      <c r="F35" s="56"/>
      <c r="G35" s="11"/>
      <c r="H35" s="11"/>
      <c r="I35" s="78"/>
      <c r="J35" s="79"/>
      <c r="K35" s="11"/>
      <c r="R35" s="11"/>
      <c r="S35" s="11"/>
      <c r="T35" s="11"/>
    </row>
    <row r="36" spans="1:21" ht="15.75" thickBot="1" x14ac:dyDescent="0.3">
      <c r="A36" s="80" t="s">
        <v>62</v>
      </c>
      <c r="B36" s="80"/>
      <c r="C36" s="81">
        <f>C32-C33</f>
        <v>51842</v>
      </c>
      <c r="D36" s="81">
        <f t="shared" ref="D36:E36" si="3">D32-D33</f>
        <v>52880</v>
      </c>
      <c r="E36" s="81">
        <f t="shared" si="3"/>
        <v>53937.020000000004</v>
      </c>
      <c r="F36" s="56"/>
      <c r="G36" s="11"/>
      <c r="H36" s="11"/>
      <c r="I36" s="50" t="s">
        <v>42</v>
      </c>
      <c r="J36" s="82">
        <f>SUM(J24:J35)</f>
        <v>696.5</v>
      </c>
      <c r="K36" s="11"/>
      <c r="R36" s="11"/>
      <c r="S36" s="11"/>
      <c r="T36" s="11"/>
      <c r="U36" s="28"/>
    </row>
    <row r="37" spans="1:21" ht="15.75" thickBot="1" x14ac:dyDescent="0.3">
      <c r="A37" s="11"/>
      <c r="B37" s="11"/>
      <c r="C37" s="11"/>
      <c r="D37" s="11"/>
      <c r="E37" s="11"/>
      <c r="F37" s="56"/>
      <c r="G37" s="11"/>
      <c r="H37" s="11"/>
      <c r="I37" s="38" t="s">
        <v>63</v>
      </c>
      <c r="J37" s="83">
        <f>J22+J36</f>
        <v>4593.24</v>
      </c>
      <c r="K37" s="11"/>
      <c r="L37" s="11"/>
      <c r="M37" s="11"/>
      <c r="N37" s="11"/>
      <c r="R37" s="11"/>
      <c r="S37" s="11"/>
      <c r="T37" s="11"/>
    </row>
    <row r="38" spans="1:21" x14ac:dyDescent="0.25"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21" ht="15.75" thickBot="1" x14ac:dyDescent="0.3"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21" x14ac:dyDescent="0.25">
      <c r="A40" s="59" t="s">
        <v>43</v>
      </c>
      <c r="B40" s="60">
        <f>C24</f>
        <v>6219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21" x14ac:dyDescent="0.25">
      <c r="A41" s="64" t="s">
        <v>45</v>
      </c>
      <c r="B41" s="65">
        <f>C24*0.5998</f>
        <v>3730.1561999999999</v>
      </c>
      <c r="C41" s="11"/>
      <c r="D41" s="11"/>
      <c r="E41" s="11"/>
      <c r="F41" s="11"/>
      <c r="G41" s="11"/>
      <c r="I41" s="11"/>
      <c r="J41" s="11"/>
      <c r="K41" s="11"/>
      <c r="L41" s="11"/>
    </row>
    <row r="42" spans="1:21" ht="15.75" thickBot="1" x14ac:dyDescent="0.3">
      <c r="A42" s="64" t="s">
        <v>47</v>
      </c>
      <c r="B42" s="65">
        <f>B40-B41</f>
        <v>2488.8438000000001</v>
      </c>
      <c r="C42" s="11"/>
      <c r="D42" s="11"/>
      <c r="E42" s="11"/>
      <c r="F42" s="11"/>
      <c r="H42" s="11"/>
      <c r="I42" s="11"/>
      <c r="J42" s="11"/>
      <c r="K42" s="11"/>
      <c r="L42" s="11"/>
      <c r="M42" s="11"/>
      <c r="N42" s="11"/>
      <c r="O42" s="11"/>
    </row>
    <row r="43" spans="1:21" ht="15.75" thickBot="1" x14ac:dyDescent="0.3">
      <c r="A43" s="68" t="s">
        <v>64</v>
      </c>
      <c r="B43" s="70">
        <f>((B40-B47)*12)/100*8</f>
        <v>5389.44</v>
      </c>
      <c r="C43" s="11"/>
      <c r="D43" s="11"/>
      <c r="E43" s="11"/>
      <c r="F43" s="11"/>
      <c r="H43" s="11"/>
      <c r="J43" s="11"/>
      <c r="K43" s="11"/>
      <c r="L43" s="11"/>
      <c r="M43" s="11"/>
      <c r="N43" s="11"/>
      <c r="O43" s="11"/>
    </row>
    <row r="44" spans="1:21" ht="15.75" thickBot="1" x14ac:dyDescent="0.3">
      <c r="A44" s="64" t="s">
        <v>65</v>
      </c>
      <c r="B44" s="65">
        <f>C25-B25</f>
        <v>3537.99</v>
      </c>
      <c r="C44" s="11"/>
      <c r="D44" s="11"/>
      <c r="E44" s="11"/>
      <c r="F44" s="11"/>
      <c r="G44" s="11"/>
      <c r="H44" s="11"/>
      <c r="J44" s="11"/>
      <c r="K44" s="11"/>
      <c r="L44" s="11"/>
      <c r="M44" s="11"/>
      <c r="N44" s="11"/>
      <c r="O44" s="11"/>
    </row>
    <row r="45" spans="1:21" ht="15.75" thickBot="1" x14ac:dyDescent="0.3">
      <c r="A45" s="68" t="s">
        <v>66</v>
      </c>
      <c r="B45" s="70">
        <f>C29</f>
        <v>568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21" ht="15.75" thickBot="1" x14ac:dyDescent="0.3">
      <c r="A46" s="68" t="s">
        <v>53</v>
      </c>
      <c r="B46" s="70">
        <v>1000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21" ht="15.75" thickBot="1" x14ac:dyDescent="0.3">
      <c r="A47" s="64" t="s">
        <v>54</v>
      </c>
      <c r="B47" s="70">
        <f>C31</f>
        <v>605</v>
      </c>
      <c r="C47" s="11"/>
      <c r="D47" s="11"/>
      <c r="E47" s="11"/>
      <c r="F47" s="11"/>
      <c r="G47" s="11"/>
      <c r="H47" s="11"/>
      <c r="I47" s="11"/>
      <c r="J47" s="11"/>
      <c r="L47" s="11"/>
      <c r="M47" s="11"/>
      <c r="N47" s="11"/>
      <c r="O47" s="11"/>
    </row>
    <row r="48" spans="1:21" ht="15.75" thickBot="1" x14ac:dyDescent="0.3">
      <c r="A48" s="68" t="s">
        <v>67</v>
      </c>
      <c r="B48" s="70">
        <f>B40*12+B43+B46</f>
        <v>81017.440000000002</v>
      </c>
      <c r="C48" s="11"/>
      <c r="D48" s="11"/>
      <c r="E48" s="11"/>
      <c r="F48" s="11"/>
      <c r="G48" s="11"/>
      <c r="H48" s="11"/>
      <c r="I48" s="11"/>
      <c r="K48" s="11"/>
      <c r="L48" s="11"/>
      <c r="M48" s="11"/>
      <c r="N48" s="11"/>
      <c r="O48" s="11"/>
    </row>
    <row r="49" spans="1:15" ht="15.75" thickBot="1" x14ac:dyDescent="0.3">
      <c r="A49" s="68" t="s">
        <v>58</v>
      </c>
      <c r="B49" s="70">
        <f>B40</f>
        <v>6219</v>
      </c>
      <c r="C49" s="11"/>
      <c r="D49" s="11"/>
      <c r="E49" s="11"/>
      <c r="F49" s="11"/>
      <c r="G49" s="11"/>
      <c r="H49" s="11"/>
      <c r="I49" s="11"/>
      <c r="K49" s="11"/>
      <c r="L49" s="11"/>
      <c r="M49" s="11"/>
      <c r="N49" s="11"/>
      <c r="O49" s="11"/>
    </row>
    <row r="50" spans="1:15" x14ac:dyDescent="0.25">
      <c r="A50" s="59" t="s">
        <v>60</v>
      </c>
      <c r="B50" s="77">
        <f>B48</f>
        <v>81017.440000000002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25">
      <c r="A51" s="64" t="s">
        <v>68</v>
      </c>
      <c r="B51" s="65">
        <v>224787</v>
      </c>
      <c r="C51" s="11"/>
      <c r="D51" s="11"/>
      <c r="E51" s="11"/>
      <c r="F51" s="11"/>
      <c r="G51" s="11"/>
      <c r="I51" s="11"/>
      <c r="J51" s="11"/>
      <c r="K51" s="11"/>
      <c r="L51" s="11"/>
      <c r="M51" s="11"/>
      <c r="N51" s="11"/>
      <c r="O51" s="11"/>
    </row>
    <row r="52" spans="1:15" ht="15.75" thickBot="1" x14ac:dyDescent="0.3">
      <c r="A52" s="80" t="s">
        <v>69</v>
      </c>
      <c r="B52" s="81">
        <v>448947</v>
      </c>
      <c r="C52" s="11"/>
      <c r="D52" s="11"/>
      <c r="E52" s="11"/>
      <c r="F52" s="11"/>
      <c r="H52" s="11"/>
      <c r="I52" s="11"/>
      <c r="J52" s="11"/>
      <c r="K52" s="11"/>
      <c r="L52" s="11"/>
      <c r="M52" s="11"/>
      <c r="N52" s="11"/>
      <c r="O52" s="11"/>
    </row>
    <row r="53" spans="1:15" ht="15.75" thickBot="1" x14ac:dyDescent="0.3">
      <c r="A53" s="46" t="s">
        <v>40</v>
      </c>
      <c r="B53" s="84" t="e">
        <f>#REF!+F15+J36+J22</f>
        <v>#REF!</v>
      </c>
      <c r="C53" s="11"/>
      <c r="D53" s="11"/>
      <c r="E53" s="11"/>
      <c r="F53" s="11"/>
      <c r="H53" s="11"/>
      <c r="I53" s="11"/>
      <c r="L53" s="11"/>
      <c r="M53" s="11"/>
      <c r="N53" s="11"/>
      <c r="O53" s="11"/>
    </row>
    <row r="54" spans="1:15" ht="15.75" thickBot="1" x14ac:dyDescent="0.3">
      <c r="A54" s="38" t="s">
        <v>38</v>
      </c>
      <c r="B54" s="85">
        <f>C25+B15+H5</f>
        <v>3537.99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  <c r="M55" s="11"/>
      <c r="N55" s="11"/>
      <c r="O55" s="11"/>
    </row>
    <row r="56" spans="1:15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x14ac:dyDescent="0.25">
      <c r="A57" s="11"/>
      <c r="B57" s="11"/>
      <c r="C57" s="11"/>
      <c r="D57" s="11"/>
      <c r="E57" s="11"/>
      <c r="F57" s="11"/>
      <c r="I57" s="11"/>
      <c r="J57" s="11"/>
      <c r="K57" s="11"/>
      <c r="L57" s="11"/>
      <c r="M57" s="11"/>
      <c r="N57" s="11"/>
      <c r="O57" s="11"/>
    </row>
    <row r="58" spans="1:15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970D-0489-4FAC-8D4C-08143C77025F}">
  <dimension ref="A1:U79"/>
  <sheetViews>
    <sheetView zoomScale="70" zoomScaleNormal="70" workbookViewId="0">
      <selection activeCell="J20" sqref="J20"/>
    </sheetView>
  </sheetViews>
  <sheetFormatPr defaultRowHeight="15" x14ac:dyDescent="0.25"/>
  <cols>
    <col min="1" max="1" width="35.140625" bestFit="1" customWidth="1"/>
    <col min="2" max="2" width="10.140625" bestFit="1" customWidth="1"/>
    <col min="3" max="3" width="17.5703125" bestFit="1" customWidth="1"/>
    <col min="4" max="4" width="9.5703125" bestFit="1" customWidth="1"/>
    <col min="5" max="5" width="12.5703125" bestFit="1" customWidth="1"/>
    <col min="6" max="6" width="7.140625" bestFit="1" customWidth="1"/>
    <col min="7" max="7" width="22.85546875" bestFit="1" customWidth="1"/>
    <col min="8" max="8" width="9.7109375" bestFit="1" customWidth="1"/>
    <col min="9" max="9" width="39.140625" bestFit="1" customWidth="1"/>
    <col min="10" max="10" width="10.5703125" bestFit="1" customWidth="1"/>
    <col min="12" max="12" width="22" customWidth="1"/>
    <col min="13" max="13" width="35.42578125" bestFit="1" customWidth="1"/>
    <col min="14" max="14" width="12.28515625" bestFit="1" customWidth="1"/>
    <col min="15" max="15" width="19.28515625" bestFit="1" customWidth="1"/>
    <col min="16" max="16" width="11.28515625" bestFit="1" customWidth="1"/>
    <col min="18" max="18" width="22.7109375" customWidth="1"/>
    <col min="19" max="19" width="9.42578125" bestFit="1" customWidth="1"/>
  </cols>
  <sheetData>
    <row r="1" spans="1:21" ht="15.75" thickBot="1" x14ac:dyDescent="0.3">
      <c r="A1" s="1" t="s">
        <v>0</v>
      </c>
      <c r="B1" s="2"/>
      <c r="C1" s="3" t="s">
        <v>1</v>
      </c>
      <c r="D1" s="4"/>
      <c r="E1" s="5" t="s">
        <v>2</v>
      </c>
      <c r="F1" s="6"/>
      <c r="G1" s="7" t="s">
        <v>3</v>
      </c>
      <c r="H1" s="8"/>
      <c r="I1" s="9" t="s">
        <v>4</v>
      </c>
      <c r="J1" s="10"/>
      <c r="K1" s="11"/>
      <c r="L1" s="11"/>
      <c r="M1" s="11"/>
      <c r="N1" s="11"/>
      <c r="O1" s="11"/>
    </row>
    <row r="2" spans="1:21" x14ac:dyDescent="0.25">
      <c r="A2" s="12" t="s">
        <v>5</v>
      </c>
      <c r="B2" s="13">
        <v>0</v>
      </c>
      <c r="C2" s="14" t="s">
        <v>6</v>
      </c>
      <c r="D2" s="15">
        <v>3740</v>
      </c>
      <c r="E2" s="16" t="s">
        <v>7</v>
      </c>
      <c r="F2" s="17">
        <v>10</v>
      </c>
      <c r="G2" s="18" t="s">
        <v>8</v>
      </c>
      <c r="H2" s="19">
        <v>0</v>
      </c>
      <c r="I2" s="20" t="s">
        <v>9</v>
      </c>
      <c r="J2" s="21">
        <v>1256.0899999999999</v>
      </c>
      <c r="K2" s="11"/>
      <c r="L2" s="22"/>
      <c r="M2" s="23" t="s">
        <v>10</v>
      </c>
      <c r="N2" s="11"/>
      <c r="P2" s="11"/>
    </row>
    <row r="3" spans="1:21" x14ac:dyDescent="0.25">
      <c r="A3" s="12" t="s">
        <v>11</v>
      </c>
      <c r="B3" s="13">
        <v>0</v>
      </c>
      <c r="C3" s="14" t="s">
        <v>12</v>
      </c>
      <c r="D3" s="15">
        <v>568</v>
      </c>
      <c r="E3" s="16" t="s">
        <v>380</v>
      </c>
      <c r="F3" s="17">
        <v>10</v>
      </c>
      <c r="G3" s="18" t="s">
        <v>13</v>
      </c>
      <c r="H3" s="19">
        <v>0</v>
      </c>
      <c r="I3" s="20" t="s">
        <v>14</v>
      </c>
      <c r="J3" s="21">
        <f>Basistabel!J3</f>
        <v>250</v>
      </c>
      <c r="K3" s="11"/>
      <c r="L3" s="24"/>
      <c r="M3" s="25" t="s">
        <v>15</v>
      </c>
      <c r="N3" s="11"/>
      <c r="P3" s="11"/>
    </row>
    <row r="4" spans="1:21" x14ac:dyDescent="0.25">
      <c r="A4" s="12"/>
      <c r="B4" s="13"/>
      <c r="C4" s="14" t="s">
        <v>16</v>
      </c>
      <c r="D4" s="15"/>
      <c r="E4" s="16" t="s">
        <v>384</v>
      </c>
      <c r="F4" s="17">
        <v>224.2</v>
      </c>
      <c r="G4" s="18" t="s">
        <v>17</v>
      </c>
      <c r="H4" s="19">
        <v>0</v>
      </c>
      <c r="I4" s="20" t="s">
        <v>18</v>
      </c>
      <c r="J4" s="21">
        <v>42.5</v>
      </c>
      <c r="K4" s="11"/>
      <c r="L4" s="24" t="s">
        <v>19</v>
      </c>
      <c r="M4" s="25">
        <v>259</v>
      </c>
      <c r="N4" s="11"/>
      <c r="O4" s="11"/>
    </row>
    <row r="5" spans="1:21" x14ac:dyDescent="0.25">
      <c r="A5" s="12"/>
      <c r="B5" s="13"/>
      <c r="C5" s="14" t="s">
        <v>20</v>
      </c>
      <c r="D5" s="15"/>
      <c r="E5" s="16" t="s">
        <v>385</v>
      </c>
      <c r="F5" s="17">
        <v>420</v>
      </c>
      <c r="G5" s="18" t="s">
        <v>21</v>
      </c>
      <c r="H5" s="19">
        <v>0</v>
      </c>
      <c r="I5" s="20" t="s">
        <v>22</v>
      </c>
      <c r="J5" s="21">
        <v>33.76</v>
      </c>
      <c r="K5" s="11"/>
      <c r="L5" s="24" t="s">
        <v>23</v>
      </c>
      <c r="M5" s="25">
        <v>200</v>
      </c>
      <c r="N5" s="11"/>
      <c r="O5" s="11"/>
    </row>
    <row r="6" spans="1:21" ht="15.75" thickBot="1" x14ac:dyDescent="0.3">
      <c r="A6" s="12"/>
      <c r="B6" s="13"/>
      <c r="C6" s="14" t="s">
        <v>24</v>
      </c>
      <c r="D6" s="15">
        <v>0</v>
      </c>
      <c r="E6" s="16"/>
      <c r="F6" s="17"/>
      <c r="G6" s="18"/>
      <c r="H6" s="19"/>
      <c r="I6" s="20" t="s">
        <v>25</v>
      </c>
      <c r="J6" s="21">
        <v>60</v>
      </c>
      <c r="K6" s="11"/>
      <c r="L6" s="26" t="s">
        <v>26</v>
      </c>
      <c r="M6" s="27">
        <v>200</v>
      </c>
      <c r="N6" s="11"/>
      <c r="O6" s="11"/>
    </row>
    <row r="7" spans="1:21" ht="15.75" thickBot="1" x14ac:dyDescent="0.3">
      <c r="A7" s="12"/>
      <c r="B7" s="13"/>
      <c r="C7" s="14"/>
      <c r="D7" s="15"/>
      <c r="E7" s="16"/>
      <c r="F7" s="17"/>
      <c r="G7" s="18"/>
      <c r="H7" s="19"/>
      <c r="I7" s="20" t="s">
        <v>27</v>
      </c>
      <c r="J7" s="21">
        <v>72.66</v>
      </c>
      <c r="K7" s="11"/>
      <c r="L7" s="11"/>
      <c r="M7" s="11"/>
      <c r="N7" s="11"/>
      <c r="O7" s="11"/>
    </row>
    <row r="8" spans="1:21" x14ac:dyDescent="0.25">
      <c r="A8" s="12"/>
      <c r="B8" s="13"/>
      <c r="C8" s="14"/>
      <c r="D8" s="15"/>
      <c r="E8" s="16"/>
      <c r="F8" s="17"/>
      <c r="G8" s="18"/>
      <c r="H8" s="19"/>
      <c r="I8" s="20" t="s">
        <v>28</v>
      </c>
      <c r="J8" s="21">
        <v>39.24</v>
      </c>
      <c r="K8" s="11"/>
      <c r="L8" s="22"/>
      <c r="M8" s="23" t="s">
        <v>10</v>
      </c>
      <c r="N8" s="11"/>
      <c r="O8" s="11"/>
    </row>
    <row r="9" spans="1:21" x14ac:dyDescent="0.25">
      <c r="A9" s="12"/>
      <c r="B9" s="13"/>
      <c r="C9" s="14"/>
      <c r="D9" s="15"/>
      <c r="E9" s="16"/>
      <c r="F9" s="17"/>
      <c r="G9" s="18"/>
      <c r="H9" s="19"/>
      <c r="I9" s="20" t="s">
        <v>29</v>
      </c>
      <c r="J9" s="21">
        <v>184.78</v>
      </c>
      <c r="K9" s="11"/>
      <c r="L9" s="24"/>
      <c r="M9" s="25" t="s">
        <v>30</v>
      </c>
      <c r="N9" s="11"/>
      <c r="O9" s="11"/>
      <c r="P9" s="28"/>
    </row>
    <row r="10" spans="1:21" x14ac:dyDescent="0.25">
      <c r="A10" s="12"/>
      <c r="B10" s="13"/>
      <c r="C10" s="14"/>
      <c r="D10" s="15"/>
      <c r="E10" s="16"/>
      <c r="F10" s="17"/>
      <c r="G10" s="18"/>
      <c r="H10" s="19"/>
      <c r="I10" s="20" t="s">
        <v>31</v>
      </c>
      <c r="J10" s="21">
        <v>40</v>
      </c>
      <c r="K10" s="11"/>
      <c r="L10" s="24" t="s">
        <v>19</v>
      </c>
      <c r="M10" s="25">
        <v>468</v>
      </c>
      <c r="N10" s="11"/>
      <c r="O10" s="11"/>
    </row>
    <row r="11" spans="1:21" x14ac:dyDescent="0.25">
      <c r="A11" s="12"/>
      <c r="B11" s="13"/>
      <c r="C11" s="14"/>
      <c r="D11" s="15"/>
      <c r="E11" s="16"/>
      <c r="F11" s="17"/>
      <c r="G11" s="18"/>
      <c r="H11" s="19"/>
      <c r="I11" s="20" t="s">
        <v>32</v>
      </c>
      <c r="J11" s="21">
        <v>70</v>
      </c>
      <c r="K11" s="11"/>
      <c r="L11" s="24" t="s">
        <v>23</v>
      </c>
      <c r="M11" s="25">
        <v>468</v>
      </c>
      <c r="N11" s="11"/>
      <c r="O11" s="11"/>
    </row>
    <row r="12" spans="1:21" ht="15.75" thickBot="1" x14ac:dyDescent="0.3">
      <c r="A12" s="12"/>
      <c r="B12" s="13"/>
      <c r="C12" s="14"/>
      <c r="D12" s="15"/>
      <c r="E12" s="16"/>
      <c r="F12" s="17"/>
      <c r="G12" s="18"/>
      <c r="H12" s="19"/>
      <c r="I12" s="20" t="s">
        <v>33</v>
      </c>
      <c r="J12" s="21">
        <v>10.93</v>
      </c>
      <c r="K12" s="11"/>
      <c r="L12" s="26" t="s">
        <v>26</v>
      </c>
      <c r="M12" s="27">
        <v>200</v>
      </c>
      <c r="N12" s="11"/>
      <c r="O12" s="11"/>
    </row>
    <row r="13" spans="1:21" x14ac:dyDescent="0.25">
      <c r="A13" s="12"/>
      <c r="B13" s="13"/>
      <c r="C13" s="14"/>
      <c r="D13" s="15"/>
      <c r="E13" s="16"/>
      <c r="F13" s="17"/>
      <c r="G13" s="18"/>
      <c r="H13" s="19"/>
      <c r="I13" s="29" t="s">
        <v>39</v>
      </c>
      <c r="J13" s="21">
        <v>32</v>
      </c>
      <c r="K13" s="11"/>
      <c r="L13" s="11"/>
      <c r="M13" s="11"/>
      <c r="N13" s="11"/>
      <c r="O13" s="11"/>
    </row>
    <row r="14" spans="1:21" ht="15.75" thickBot="1" x14ac:dyDescent="0.3">
      <c r="A14" s="30"/>
      <c r="B14" s="31"/>
      <c r="C14" s="32"/>
      <c r="D14" s="33"/>
      <c r="E14" s="34"/>
      <c r="F14" s="35"/>
      <c r="G14" s="36"/>
      <c r="H14" s="37"/>
      <c r="I14" s="29" t="s">
        <v>396</v>
      </c>
      <c r="J14" s="21">
        <v>37.5</v>
      </c>
      <c r="K14" s="11"/>
      <c r="L14" s="11"/>
      <c r="O14" s="11"/>
      <c r="R14" s="11"/>
      <c r="S14" s="11"/>
      <c r="T14" s="11"/>
    </row>
    <row r="15" spans="1:21" ht="15.75" thickBot="1" x14ac:dyDescent="0.3">
      <c r="A15" s="38" t="s">
        <v>35</v>
      </c>
      <c r="B15" s="39">
        <f>SUM(B2:B14)</f>
        <v>0</v>
      </c>
      <c r="C15" s="38" t="s">
        <v>34</v>
      </c>
      <c r="D15" s="39">
        <f>SUM(D2:D14)</f>
        <v>4308</v>
      </c>
      <c r="E15" s="38" t="s">
        <v>34</v>
      </c>
      <c r="F15" s="40">
        <f>SUM(F2:F14)</f>
        <v>664.2</v>
      </c>
      <c r="G15" s="38" t="s">
        <v>36</v>
      </c>
      <c r="H15" s="41">
        <f>H2+H3+H4+H5+H6+H7+H8</f>
        <v>0</v>
      </c>
      <c r="I15" s="29" t="s">
        <v>377</v>
      </c>
      <c r="J15" s="21">
        <v>22</v>
      </c>
      <c r="K15" s="11"/>
      <c r="L15" s="11"/>
      <c r="R15" s="11"/>
      <c r="S15" s="11"/>
      <c r="T15" s="11"/>
      <c r="U15" s="28"/>
    </row>
    <row r="16" spans="1:21" ht="15.75" thickBot="1" x14ac:dyDescent="0.3">
      <c r="A16" s="11"/>
      <c r="B16" s="11"/>
      <c r="C16" s="11"/>
      <c r="D16" s="11"/>
      <c r="E16" s="11"/>
      <c r="F16" s="11"/>
      <c r="G16" s="11"/>
      <c r="H16" s="11"/>
      <c r="I16" s="29"/>
      <c r="J16" s="21">
        <v>117</v>
      </c>
      <c r="K16" s="11"/>
      <c r="L16" s="11"/>
      <c r="R16" s="11"/>
      <c r="S16" s="11"/>
      <c r="T16" s="11"/>
    </row>
    <row r="17" spans="1:21" x14ac:dyDescent="0.25">
      <c r="A17" s="42" t="s">
        <v>38</v>
      </c>
      <c r="B17" s="43"/>
      <c r="C17" s="44">
        <f>D15</f>
        <v>4308</v>
      </c>
      <c r="D17" s="45">
        <f>(D15*1.02)+125</f>
        <v>4519.16</v>
      </c>
      <c r="E17" s="45">
        <f>(D17*1.02)+125</f>
        <v>4734.5432000000001</v>
      </c>
      <c r="F17" s="11"/>
      <c r="G17" s="11"/>
      <c r="H17" s="11"/>
      <c r="I17" s="29"/>
      <c r="J17" s="21">
        <v>40</v>
      </c>
      <c r="K17" s="11"/>
      <c r="L17" s="11"/>
      <c r="R17" s="11"/>
      <c r="S17" s="11"/>
      <c r="T17" s="11"/>
    </row>
    <row r="18" spans="1:21" x14ac:dyDescent="0.25">
      <c r="A18" s="46"/>
      <c r="B18" s="47"/>
      <c r="C18" s="48"/>
      <c r="D18" s="49"/>
      <c r="E18" s="49"/>
      <c r="F18" s="11"/>
      <c r="G18" s="11"/>
      <c r="H18" s="11"/>
      <c r="I18" s="29"/>
      <c r="J18" s="21">
        <v>184</v>
      </c>
      <c r="K18" s="11"/>
      <c r="L18" s="11"/>
      <c r="R18" s="11"/>
      <c r="S18" s="11"/>
      <c r="T18" s="11"/>
      <c r="U18" s="28"/>
    </row>
    <row r="19" spans="1:21" x14ac:dyDescent="0.25">
      <c r="A19" s="46" t="s">
        <v>40</v>
      </c>
      <c r="B19" s="47"/>
      <c r="C19" s="48">
        <f>F15+J36+J22</f>
        <v>4342.16</v>
      </c>
      <c r="D19" s="49">
        <f>F15+J36+J22</f>
        <v>4342.16</v>
      </c>
      <c r="E19" s="49">
        <f>F15+J36+J22</f>
        <v>4342.16</v>
      </c>
      <c r="F19" s="11"/>
      <c r="G19" s="11"/>
      <c r="H19" s="11"/>
      <c r="I19" s="29"/>
      <c r="J19" s="21">
        <v>664</v>
      </c>
      <c r="K19" s="11"/>
      <c r="L19" s="21">
        <v>40</v>
      </c>
      <c r="R19" s="11"/>
      <c r="S19" s="11"/>
      <c r="T19" s="11"/>
    </row>
    <row r="20" spans="1:21" x14ac:dyDescent="0.25">
      <c r="A20" s="46"/>
      <c r="B20" s="47"/>
      <c r="C20" s="48"/>
      <c r="D20" s="49"/>
      <c r="E20" s="49"/>
      <c r="F20" s="11"/>
      <c r="G20" s="11"/>
      <c r="H20" s="11"/>
      <c r="I20" s="29" t="s">
        <v>395</v>
      </c>
      <c r="J20" s="21">
        <v>25</v>
      </c>
      <c r="L20" s="21">
        <v>70</v>
      </c>
      <c r="R20" s="11"/>
      <c r="S20" s="11"/>
      <c r="T20" s="11"/>
    </row>
    <row r="21" spans="1:21" ht="15.75" thickBot="1" x14ac:dyDescent="0.3">
      <c r="A21" s="50" t="s">
        <v>41</v>
      </c>
      <c r="B21" s="51"/>
      <c r="C21" s="52">
        <f>C17-C19</f>
        <v>-34.159999999999854</v>
      </c>
      <c r="D21" s="53">
        <f>D17-D19</f>
        <v>177</v>
      </c>
      <c r="E21" s="53">
        <f t="shared" ref="E21" si="0">E17-E19</f>
        <v>392.38320000000022</v>
      </c>
      <c r="F21" s="11"/>
      <c r="G21" s="11" t="s">
        <v>70</v>
      </c>
      <c r="H21" s="11">
        <v>8774</v>
      </c>
      <c r="I21" s="54"/>
      <c r="J21" s="55"/>
      <c r="R21" s="11"/>
      <c r="S21" s="11"/>
      <c r="T21" s="11"/>
      <c r="U21" s="28"/>
    </row>
    <row r="22" spans="1:21" ht="15.75" thickBot="1" x14ac:dyDescent="0.3">
      <c r="A22" s="11"/>
      <c r="B22" s="11"/>
      <c r="C22" s="56"/>
      <c r="D22" s="56"/>
      <c r="E22" s="56"/>
      <c r="F22" s="11"/>
      <c r="G22" s="11"/>
      <c r="H22" s="11"/>
      <c r="I22" s="38" t="s">
        <v>42</v>
      </c>
      <c r="J22" s="57">
        <f>SUM(J2:J21)</f>
        <v>3181.4599999999996</v>
      </c>
      <c r="K22" s="11"/>
      <c r="L22" s="11"/>
      <c r="R22" s="11"/>
      <c r="S22" s="11"/>
      <c r="T22" s="11"/>
    </row>
    <row r="23" spans="1:21" ht="15.75" thickBot="1" x14ac:dyDescent="0.3">
      <c r="A23" s="11"/>
      <c r="B23" s="11"/>
      <c r="C23" s="58"/>
      <c r="D23" s="11"/>
      <c r="E23" s="56"/>
      <c r="F23" s="11"/>
      <c r="G23" s="11"/>
      <c r="H23" s="11"/>
      <c r="I23" s="11"/>
      <c r="J23" s="11"/>
      <c r="K23" s="11"/>
      <c r="L23" s="11"/>
      <c r="R23" s="11"/>
      <c r="S23" s="11"/>
      <c r="T23" s="11"/>
    </row>
    <row r="24" spans="1:21" x14ac:dyDescent="0.25">
      <c r="A24" s="59" t="s">
        <v>43</v>
      </c>
      <c r="B24" s="45"/>
      <c r="C24" s="60">
        <v>6219</v>
      </c>
      <c r="D24" s="61">
        <v>6343.38</v>
      </c>
      <c r="E24" s="61">
        <v>6470.2</v>
      </c>
      <c r="F24" s="11"/>
      <c r="G24" s="11"/>
      <c r="H24" s="11"/>
      <c r="I24" s="62" t="s">
        <v>44</v>
      </c>
      <c r="J24" s="63">
        <v>80</v>
      </c>
      <c r="K24" s="11"/>
      <c r="L24" s="11"/>
      <c r="R24" s="11"/>
      <c r="S24" s="11"/>
      <c r="T24" s="11"/>
      <c r="U24" s="28"/>
    </row>
    <row r="25" spans="1:21" x14ac:dyDescent="0.25">
      <c r="A25" s="64" t="s">
        <v>45</v>
      </c>
      <c r="B25" s="49"/>
      <c r="C25" s="65">
        <f>3537.99</f>
        <v>3537.99</v>
      </c>
      <c r="D25" s="64">
        <f>D17</f>
        <v>4519.16</v>
      </c>
      <c r="E25" s="64">
        <f>E17</f>
        <v>4734.5432000000001</v>
      </c>
      <c r="F25" s="11"/>
      <c r="G25" s="11"/>
      <c r="H25" s="11"/>
      <c r="I25" s="66" t="s">
        <v>46</v>
      </c>
      <c r="J25" s="67">
        <v>0</v>
      </c>
      <c r="K25" s="11"/>
      <c r="L25" s="11"/>
      <c r="R25" s="11"/>
      <c r="S25" s="11"/>
      <c r="T25" s="11"/>
    </row>
    <row r="26" spans="1:21" ht="15.75" thickBot="1" x14ac:dyDescent="0.3">
      <c r="A26" s="64" t="s">
        <v>47</v>
      </c>
      <c r="B26" s="49"/>
      <c r="C26" s="65">
        <f>C24-C25</f>
        <v>2681.01</v>
      </c>
      <c r="D26" s="64">
        <f>D24-D25</f>
        <v>1824.2200000000003</v>
      </c>
      <c r="E26" s="64">
        <f t="shared" ref="E26" si="1">E24-E25</f>
        <v>1735.6567999999997</v>
      </c>
      <c r="F26" s="11"/>
      <c r="G26" s="11"/>
      <c r="H26" s="11"/>
      <c r="I26" s="66" t="s">
        <v>48</v>
      </c>
      <c r="J26" s="67">
        <v>400</v>
      </c>
      <c r="K26" s="11"/>
      <c r="L26" s="11">
        <f>50+50+50+50</f>
        <v>200</v>
      </c>
      <c r="R26" s="11"/>
      <c r="S26" s="11"/>
      <c r="T26" s="11"/>
    </row>
    <row r="27" spans="1:21" ht="15.75" thickBot="1" x14ac:dyDescent="0.3">
      <c r="A27" s="68" t="s">
        <v>49</v>
      </c>
      <c r="B27" s="69"/>
      <c r="C27" s="70">
        <v>2539.41</v>
      </c>
      <c r="D27" s="71">
        <v>2700</v>
      </c>
      <c r="E27" s="71">
        <v>2900</v>
      </c>
      <c r="F27" s="56"/>
      <c r="G27" s="56"/>
      <c r="H27" s="56"/>
      <c r="I27" s="150"/>
      <c r="J27" s="151"/>
      <c r="K27" s="11"/>
      <c r="R27" s="11"/>
      <c r="S27" s="11"/>
      <c r="T27" s="11"/>
      <c r="U27" s="28"/>
    </row>
    <row r="28" spans="1:21" ht="15.75" thickBot="1" x14ac:dyDescent="0.3">
      <c r="A28" s="64" t="s">
        <v>50</v>
      </c>
      <c r="B28" s="59"/>
      <c r="C28" s="65"/>
      <c r="D28" s="64">
        <f>D25-$C25</f>
        <v>981.17000000000007</v>
      </c>
      <c r="E28" s="64">
        <f>E25-$D25</f>
        <v>215.38320000000022</v>
      </c>
      <c r="F28" s="56"/>
      <c r="G28" s="56"/>
      <c r="H28" s="56"/>
      <c r="I28" s="152"/>
      <c r="J28" s="153"/>
      <c r="K28" s="11"/>
      <c r="R28" s="11"/>
      <c r="S28" s="11"/>
      <c r="T28" s="11"/>
    </row>
    <row r="29" spans="1:21" ht="15.75" thickBot="1" x14ac:dyDescent="0.3">
      <c r="A29" s="68" t="s">
        <v>51</v>
      </c>
      <c r="B29" s="68"/>
      <c r="C29" s="70">
        <f>D3</f>
        <v>568</v>
      </c>
      <c r="D29" s="70">
        <f>D3</f>
        <v>568</v>
      </c>
      <c r="E29" s="70">
        <f>D3</f>
        <v>568</v>
      </c>
      <c r="F29" s="56"/>
      <c r="G29" s="56"/>
      <c r="H29" s="56"/>
      <c r="I29" s="74"/>
      <c r="J29" s="75"/>
      <c r="K29" s="11">
        <v>214</v>
      </c>
      <c r="L29">
        <v>3</v>
      </c>
      <c r="R29" s="11"/>
      <c r="S29" s="11"/>
      <c r="T29" s="11"/>
    </row>
    <row r="30" spans="1:21" ht="15.75" thickBot="1" x14ac:dyDescent="0.3">
      <c r="A30" s="68" t="s">
        <v>53</v>
      </c>
      <c r="B30" s="68"/>
      <c r="C30" s="70">
        <v>1000</v>
      </c>
      <c r="D30" s="76">
        <v>1000</v>
      </c>
      <c r="E30" s="68">
        <v>1000</v>
      </c>
      <c r="F30" s="56"/>
      <c r="G30" s="56"/>
      <c r="H30" s="56"/>
      <c r="I30" s="74" t="s">
        <v>71</v>
      </c>
      <c r="J30" s="75">
        <f>6.5+5+5</f>
        <v>16.5</v>
      </c>
      <c r="K30" s="11"/>
      <c r="R30" s="11"/>
      <c r="S30" s="11"/>
      <c r="T30" s="11"/>
      <c r="U30" s="28"/>
    </row>
    <row r="31" spans="1:21" ht="15.75" thickBot="1" x14ac:dyDescent="0.3">
      <c r="A31" s="68" t="s">
        <v>54</v>
      </c>
      <c r="B31" s="68"/>
      <c r="C31" s="70">
        <v>605</v>
      </c>
      <c r="D31" s="71">
        <v>605</v>
      </c>
      <c r="E31" s="71">
        <v>605</v>
      </c>
      <c r="F31" s="56"/>
      <c r="G31" s="56"/>
      <c r="H31" s="56"/>
      <c r="I31" s="74" t="s">
        <v>55</v>
      </c>
      <c r="J31" s="75"/>
      <c r="K31" s="11"/>
      <c r="R31" s="11"/>
      <c r="S31" s="11"/>
      <c r="T31" s="11"/>
    </row>
    <row r="32" spans="1:21" ht="15.75" thickBot="1" x14ac:dyDescent="0.3">
      <c r="A32" s="68" t="s">
        <v>56</v>
      </c>
      <c r="B32" s="68"/>
      <c r="C32" s="70">
        <v>77550</v>
      </c>
      <c r="D32" s="70">
        <v>79101</v>
      </c>
      <c r="E32" s="70">
        <v>80683.02</v>
      </c>
      <c r="F32" s="56"/>
      <c r="G32" s="56"/>
      <c r="H32" s="56"/>
      <c r="I32" s="74" t="s">
        <v>57</v>
      </c>
      <c r="J32" s="75">
        <v>0</v>
      </c>
      <c r="K32" s="11">
        <v>500</v>
      </c>
      <c r="R32" s="11"/>
      <c r="S32" s="11"/>
      <c r="T32" s="11"/>
    </row>
    <row r="33" spans="1:21" ht="15.75" thickBot="1" x14ac:dyDescent="0.3">
      <c r="A33" s="68" t="s">
        <v>58</v>
      </c>
      <c r="B33" s="68"/>
      <c r="C33" s="70">
        <v>25708</v>
      </c>
      <c r="D33" s="68">
        <v>26221</v>
      </c>
      <c r="E33" s="68">
        <v>26746</v>
      </c>
      <c r="F33" s="56"/>
      <c r="G33" s="56"/>
      <c r="H33" s="56"/>
      <c r="I33" s="74"/>
      <c r="J33" s="75"/>
      <c r="K33" s="11"/>
      <c r="R33" s="11"/>
      <c r="S33" s="11"/>
      <c r="T33" s="11"/>
      <c r="U33" s="28"/>
    </row>
    <row r="34" spans="1:21" x14ac:dyDescent="0.25">
      <c r="A34" s="59" t="s">
        <v>60</v>
      </c>
      <c r="B34" s="59"/>
      <c r="C34" s="77">
        <f t="shared" ref="C34:E34" si="2">C32</f>
        <v>77550</v>
      </c>
      <c r="D34" s="59">
        <f t="shared" si="2"/>
        <v>79101</v>
      </c>
      <c r="E34" s="59">
        <f t="shared" si="2"/>
        <v>80683.02</v>
      </c>
      <c r="F34" s="56"/>
      <c r="G34" s="56"/>
      <c r="H34" s="56"/>
      <c r="I34" s="74"/>
      <c r="J34" s="75"/>
      <c r="K34" s="149">
        <f>'[1]JB 2025 December'!$J$34</f>
        <v>384.31666666666666</v>
      </c>
      <c r="R34" s="11"/>
      <c r="S34" s="11"/>
      <c r="T34" s="11"/>
    </row>
    <row r="35" spans="1:21" ht="15.75" thickBot="1" x14ac:dyDescent="0.3">
      <c r="A35" s="64" t="s">
        <v>61</v>
      </c>
      <c r="B35" s="64"/>
      <c r="C35" s="65">
        <f>(J2*12)-(C29*12)</f>
        <v>8257.0799999999981</v>
      </c>
      <c r="D35" s="65">
        <f>J2*12</f>
        <v>15073.079999999998</v>
      </c>
      <c r="E35" s="65">
        <f>J2*12</f>
        <v>15073.079999999998</v>
      </c>
      <c r="F35" s="56"/>
      <c r="G35" s="11"/>
      <c r="H35" s="11"/>
      <c r="I35" s="78"/>
      <c r="J35" s="79"/>
      <c r="K35" s="11"/>
      <c r="R35" s="11"/>
      <c r="S35" s="11"/>
      <c r="T35" s="11"/>
    </row>
    <row r="36" spans="1:21" ht="15.75" thickBot="1" x14ac:dyDescent="0.3">
      <c r="A36" s="80" t="s">
        <v>62</v>
      </c>
      <c r="B36" s="80"/>
      <c r="C36" s="81">
        <f>C32-C33</f>
        <v>51842</v>
      </c>
      <c r="D36" s="81">
        <f t="shared" ref="D36:E36" si="3">D32-D33</f>
        <v>52880</v>
      </c>
      <c r="E36" s="81">
        <f t="shared" si="3"/>
        <v>53937.020000000004</v>
      </c>
      <c r="F36" s="56"/>
      <c r="G36" s="11"/>
      <c r="H36" s="11"/>
      <c r="I36" s="50" t="s">
        <v>42</v>
      </c>
      <c r="J36" s="82">
        <f>SUM(J24:J35)</f>
        <v>496.5</v>
      </c>
      <c r="K36" s="11"/>
      <c r="R36" s="11"/>
      <c r="S36" s="11"/>
      <c r="T36" s="11"/>
      <c r="U36" s="28"/>
    </row>
    <row r="37" spans="1:21" ht="15.75" thickBot="1" x14ac:dyDescent="0.3">
      <c r="A37" s="11"/>
      <c r="B37" s="11"/>
      <c r="C37" s="11"/>
      <c r="D37" s="11"/>
      <c r="E37" s="11"/>
      <c r="F37" s="56"/>
      <c r="G37" s="11"/>
      <c r="H37" s="11"/>
      <c r="I37" s="38" t="s">
        <v>63</v>
      </c>
      <c r="J37" s="83">
        <f>J22+J36</f>
        <v>3677.9599999999996</v>
      </c>
      <c r="K37" s="11"/>
      <c r="L37" s="11"/>
      <c r="M37" s="11"/>
      <c r="N37" s="11"/>
      <c r="R37" s="11"/>
      <c r="S37" s="11"/>
      <c r="T37" s="11"/>
    </row>
    <row r="38" spans="1:21" x14ac:dyDescent="0.25"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21" ht="15.75" thickBot="1" x14ac:dyDescent="0.3"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21" x14ac:dyDescent="0.25">
      <c r="A40" s="59" t="s">
        <v>43</v>
      </c>
      <c r="B40" s="60">
        <f>C24</f>
        <v>6219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21" x14ac:dyDescent="0.25">
      <c r="A41" s="64" t="s">
        <v>45</v>
      </c>
      <c r="B41" s="65">
        <f>C24*0.5998</f>
        <v>3730.1561999999999</v>
      </c>
      <c r="C41" s="11"/>
      <c r="D41" s="11"/>
      <c r="E41" s="11"/>
      <c r="F41" s="11"/>
      <c r="G41" s="11"/>
      <c r="I41" s="11"/>
      <c r="J41" s="11"/>
      <c r="K41" s="11"/>
      <c r="L41" s="11"/>
    </row>
    <row r="42" spans="1:21" ht="15.75" thickBot="1" x14ac:dyDescent="0.3">
      <c r="A42" s="64" t="s">
        <v>47</v>
      </c>
      <c r="B42" s="65">
        <f>B40-B41</f>
        <v>2488.8438000000001</v>
      </c>
      <c r="C42" s="11"/>
      <c r="D42" s="11"/>
      <c r="E42" s="11"/>
      <c r="F42" s="11"/>
      <c r="H42" s="11"/>
      <c r="I42" s="11"/>
      <c r="J42" s="11"/>
      <c r="K42" s="11"/>
      <c r="L42" s="11"/>
      <c r="M42" s="11"/>
      <c r="N42" s="11"/>
      <c r="O42" s="11"/>
    </row>
    <row r="43" spans="1:21" ht="15.75" thickBot="1" x14ac:dyDescent="0.3">
      <c r="A43" s="68" t="s">
        <v>64</v>
      </c>
      <c r="B43" s="70">
        <f>((B40-B47)*12)/100*8</f>
        <v>5389.44</v>
      </c>
      <c r="C43" s="11"/>
      <c r="D43" s="11"/>
      <c r="E43" s="11"/>
      <c r="F43" s="11"/>
      <c r="H43" s="11"/>
      <c r="J43" s="11"/>
      <c r="K43" s="11"/>
      <c r="L43" s="11"/>
      <c r="M43" s="11"/>
      <c r="N43" s="11"/>
      <c r="O43" s="11"/>
    </row>
    <row r="44" spans="1:21" ht="15.75" thickBot="1" x14ac:dyDescent="0.3">
      <c r="A44" s="64" t="s">
        <v>65</v>
      </c>
      <c r="B44" s="65">
        <f>C25-B25</f>
        <v>3537.99</v>
      </c>
      <c r="C44" s="11"/>
      <c r="D44" s="11"/>
      <c r="E44" s="11"/>
      <c r="F44" s="11"/>
      <c r="G44" s="11"/>
      <c r="H44" s="11"/>
      <c r="J44" s="11"/>
      <c r="K44" s="11"/>
      <c r="L44" s="11"/>
      <c r="M44" s="11"/>
      <c r="N44" s="11"/>
      <c r="O44" s="11"/>
    </row>
    <row r="45" spans="1:21" ht="15.75" thickBot="1" x14ac:dyDescent="0.3">
      <c r="A45" s="68" t="s">
        <v>66</v>
      </c>
      <c r="B45" s="70">
        <f>C29</f>
        <v>568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21" ht="15.75" thickBot="1" x14ac:dyDescent="0.3">
      <c r="A46" s="68" t="s">
        <v>53</v>
      </c>
      <c r="B46" s="70">
        <v>1000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21" ht="15.75" thickBot="1" x14ac:dyDescent="0.3">
      <c r="A47" s="64" t="s">
        <v>54</v>
      </c>
      <c r="B47" s="70">
        <f>C31</f>
        <v>605</v>
      </c>
      <c r="C47" s="11"/>
      <c r="D47" s="11"/>
      <c r="E47" s="11"/>
      <c r="F47" s="11"/>
      <c r="G47" s="11"/>
      <c r="H47" s="11"/>
      <c r="I47" s="11"/>
      <c r="J47" s="11"/>
      <c r="L47" s="11"/>
      <c r="M47" s="11"/>
      <c r="N47" s="11"/>
      <c r="O47" s="11"/>
    </row>
    <row r="48" spans="1:21" ht="15.75" thickBot="1" x14ac:dyDescent="0.3">
      <c r="A48" s="68" t="s">
        <v>67</v>
      </c>
      <c r="B48" s="70">
        <f>B40*12+B43+B46</f>
        <v>81017.440000000002</v>
      </c>
      <c r="C48" s="11"/>
      <c r="D48" s="11"/>
      <c r="E48" s="11"/>
      <c r="F48" s="11"/>
      <c r="G48" s="11"/>
      <c r="H48" s="11"/>
      <c r="I48" s="11"/>
      <c r="K48" s="11"/>
      <c r="L48" s="11"/>
      <c r="M48" s="11"/>
      <c r="N48" s="11"/>
      <c r="O48" s="11"/>
    </row>
    <row r="49" spans="1:15" ht="15.75" thickBot="1" x14ac:dyDescent="0.3">
      <c r="A49" s="68" t="s">
        <v>58</v>
      </c>
      <c r="B49" s="70">
        <f>B40</f>
        <v>6219</v>
      </c>
      <c r="C49" s="11"/>
      <c r="D49" s="11"/>
      <c r="E49" s="11"/>
      <c r="F49" s="11"/>
      <c r="G49" s="11"/>
      <c r="H49" s="11"/>
      <c r="I49" s="11"/>
      <c r="K49" s="11"/>
      <c r="L49" s="11"/>
      <c r="M49" s="11"/>
      <c r="N49" s="11"/>
      <c r="O49" s="11"/>
    </row>
    <row r="50" spans="1:15" x14ac:dyDescent="0.25">
      <c r="A50" s="59" t="s">
        <v>60</v>
      </c>
      <c r="B50" s="77">
        <f>B48</f>
        <v>81017.440000000002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25">
      <c r="A51" s="64" t="s">
        <v>68</v>
      </c>
      <c r="B51" s="65">
        <v>224787</v>
      </c>
      <c r="C51" s="11"/>
      <c r="D51" s="11"/>
      <c r="E51" s="11"/>
      <c r="F51" s="11"/>
      <c r="G51" s="11"/>
      <c r="I51" s="11"/>
      <c r="J51" s="11"/>
      <c r="K51" s="11"/>
      <c r="L51" s="11"/>
      <c r="M51" s="11"/>
      <c r="N51" s="11"/>
      <c r="O51" s="11"/>
    </row>
    <row r="52" spans="1:15" ht="15.75" thickBot="1" x14ac:dyDescent="0.3">
      <c r="A52" s="80" t="s">
        <v>69</v>
      </c>
      <c r="B52" s="81">
        <v>448947</v>
      </c>
      <c r="C52" s="11"/>
      <c r="D52" s="11"/>
      <c r="E52" s="11"/>
      <c r="F52" s="11"/>
      <c r="H52" s="11"/>
      <c r="I52" s="11"/>
      <c r="J52" s="11"/>
      <c r="K52" s="11"/>
      <c r="L52" s="11"/>
      <c r="M52" s="11"/>
      <c r="N52" s="11"/>
      <c r="O52" s="11"/>
    </row>
    <row r="53" spans="1:15" ht="15.75" thickBot="1" x14ac:dyDescent="0.3">
      <c r="A53" s="46" t="s">
        <v>40</v>
      </c>
      <c r="B53" s="84" t="e">
        <f>#REF!+F15+J36+J22</f>
        <v>#REF!</v>
      </c>
      <c r="C53" s="11"/>
      <c r="D53" s="11"/>
      <c r="E53" s="11"/>
      <c r="F53" s="11"/>
      <c r="H53" s="11"/>
      <c r="I53" s="11"/>
      <c r="L53" s="11"/>
      <c r="M53" s="11"/>
      <c r="N53" s="11"/>
      <c r="O53" s="11"/>
    </row>
    <row r="54" spans="1:15" ht="15.75" thickBot="1" x14ac:dyDescent="0.3">
      <c r="A54" s="38" t="s">
        <v>38</v>
      </c>
      <c r="B54" s="85">
        <f>C25+B15+H5</f>
        <v>3537.99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  <c r="M55" s="11"/>
      <c r="N55" s="11"/>
      <c r="O55" s="11"/>
    </row>
    <row r="56" spans="1:15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x14ac:dyDescent="0.25">
      <c r="A57" s="11"/>
      <c r="B57" s="11"/>
      <c r="C57" s="11"/>
      <c r="D57" s="11"/>
      <c r="E57" s="11"/>
      <c r="F57" s="11"/>
      <c r="I57" s="11"/>
      <c r="J57" s="11"/>
      <c r="K57" s="11"/>
      <c r="L57" s="11"/>
      <c r="M57" s="11"/>
      <c r="N57" s="11"/>
      <c r="O57" s="11"/>
    </row>
    <row r="58" spans="1:15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AC02-02AB-4173-9C03-91CBA061AA08}">
  <dimension ref="A1:U79"/>
  <sheetViews>
    <sheetView zoomScale="70" zoomScaleNormal="70" workbookViewId="0">
      <selection activeCell="J3" sqref="J3"/>
    </sheetView>
  </sheetViews>
  <sheetFormatPr defaultRowHeight="15" x14ac:dyDescent="0.25"/>
  <cols>
    <col min="1" max="1" width="35.140625" bestFit="1" customWidth="1"/>
    <col min="2" max="2" width="10.140625" bestFit="1" customWidth="1"/>
    <col min="3" max="3" width="17.5703125" bestFit="1" customWidth="1"/>
    <col min="4" max="4" width="9.5703125" bestFit="1" customWidth="1"/>
    <col min="5" max="5" width="12.5703125" bestFit="1" customWidth="1"/>
    <col min="6" max="6" width="7.140625" bestFit="1" customWidth="1"/>
    <col min="7" max="7" width="22.85546875" bestFit="1" customWidth="1"/>
    <col min="8" max="8" width="9.7109375" bestFit="1" customWidth="1"/>
    <col min="9" max="9" width="39.140625" bestFit="1" customWidth="1"/>
    <col min="10" max="10" width="10.5703125" bestFit="1" customWidth="1"/>
    <col min="12" max="12" width="22" customWidth="1"/>
    <col min="13" max="13" width="35.42578125" bestFit="1" customWidth="1"/>
    <col min="14" max="14" width="12.28515625" bestFit="1" customWidth="1"/>
    <col min="15" max="15" width="19.28515625" bestFit="1" customWidth="1"/>
    <col min="16" max="16" width="11.28515625" bestFit="1" customWidth="1"/>
    <col min="18" max="18" width="22.7109375" customWidth="1"/>
    <col min="19" max="19" width="9.42578125" bestFit="1" customWidth="1"/>
  </cols>
  <sheetData>
    <row r="1" spans="1:21" ht="15.75" thickBot="1" x14ac:dyDescent="0.3">
      <c r="A1" s="1" t="s">
        <v>0</v>
      </c>
      <c r="B1" s="2"/>
      <c r="C1" s="3" t="s">
        <v>1</v>
      </c>
      <c r="D1" s="4"/>
      <c r="E1" s="5" t="s">
        <v>2</v>
      </c>
      <c r="F1" s="6"/>
      <c r="G1" s="7" t="s">
        <v>3</v>
      </c>
      <c r="H1" s="8"/>
      <c r="I1" s="9" t="s">
        <v>4</v>
      </c>
      <c r="J1" s="10"/>
      <c r="K1" s="11"/>
      <c r="L1" s="11"/>
      <c r="M1" s="11"/>
      <c r="N1" s="11"/>
      <c r="O1" s="11"/>
    </row>
    <row r="2" spans="1:21" x14ac:dyDescent="0.25">
      <c r="A2" s="12" t="s">
        <v>5</v>
      </c>
      <c r="B2" s="13">
        <v>0</v>
      </c>
      <c r="C2" s="14" t="s">
        <v>6</v>
      </c>
      <c r="D2" s="15">
        <v>3740</v>
      </c>
      <c r="E2" s="16" t="s">
        <v>7</v>
      </c>
      <c r="F2" s="17">
        <v>10</v>
      </c>
      <c r="G2" s="18" t="s">
        <v>8</v>
      </c>
      <c r="H2" s="19">
        <v>0</v>
      </c>
      <c r="I2" s="20" t="s">
        <v>9</v>
      </c>
      <c r="J2" s="21">
        <v>1256.0899999999999</v>
      </c>
      <c r="K2" s="11"/>
      <c r="L2" s="22"/>
      <c r="M2" s="23" t="s">
        <v>10</v>
      </c>
      <c r="N2" s="11"/>
      <c r="P2" s="11"/>
    </row>
    <row r="3" spans="1:21" x14ac:dyDescent="0.25">
      <c r="A3" s="12" t="s">
        <v>11</v>
      </c>
      <c r="B3" s="13">
        <v>0</v>
      </c>
      <c r="C3" s="14" t="s">
        <v>12</v>
      </c>
      <c r="D3" s="15">
        <v>550</v>
      </c>
      <c r="E3" s="16" t="s">
        <v>380</v>
      </c>
      <c r="F3" s="17">
        <v>10</v>
      </c>
      <c r="G3" s="18" t="s">
        <v>13</v>
      </c>
      <c r="H3" s="19">
        <v>0</v>
      </c>
      <c r="I3" s="20" t="s">
        <v>14</v>
      </c>
      <c r="J3" s="21">
        <f>Basistabel!J3</f>
        <v>250</v>
      </c>
      <c r="K3" s="11"/>
      <c r="L3" s="24"/>
      <c r="M3" s="25" t="s">
        <v>15</v>
      </c>
      <c r="N3" s="11"/>
      <c r="P3" s="11"/>
    </row>
    <row r="4" spans="1:21" x14ac:dyDescent="0.25">
      <c r="A4" s="12"/>
      <c r="B4" s="13"/>
      <c r="C4" s="14" t="s">
        <v>16</v>
      </c>
      <c r="D4" s="15"/>
      <c r="E4" s="16" t="s">
        <v>384</v>
      </c>
      <c r="F4" s="17">
        <v>224.2</v>
      </c>
      <c r="G4" s="18" t="s">
        <v>17</v>
      </c>
      <c r="H4" s="19">
        <v>0</v>
      </c>
      <c r="I4" s="20" t="s">
        <v>18</v>
      </c>
      <c r="J4" s="21">
        <v>42.5</v>
      </c>
      <c r="K4" s="11"/>
      <c r="L4" s="24" t="s">
        <v>19</v>
      </c>
      <c r="M4" s="25">
        <v>259</v>
      </c>
      <c r="N4" s="11"/>
      <c r="O4" s="11"/>
    </row>
    <row r="5" spans="1:21" x14ac:dyDescent="0.25">
      <c r="A5" s="12"/>
      <c r="B5" s="13"/>
      <c r="C5" s="14" t="s">
        <v>20</v>
      </c>
      <c r="D5" s="15"/>
      <c r="E5" s="16" t="s">
        <v>385</v>
      </c>
      <c r="F5" s="17">
        <v>420</v>
      </c>
      <c r="G5" s="18" t="s">
        <v>21</v>
      </c>
      <c r="H5" s="19">
        <v>0</v>
      </c>
      <c r="I5" s="20" t="s">
        <v>22</v>
      </c>
      <c r="J5" s="21">
        <v>33.76</v>
      </c>
      <c r="K5" s="11"/>
      <c r="L5" s="24" t="s">
        <v>23</v>
      </c>
      <c r="M5" s="25">
        <v>200</v>
      </c>
      <c r="N5" s="11"/>
      <c r="O5" s="11"/>
    </row>
    <row r="6" spans="1:21" ht="15.75" thickBot="1" x14ac:dyDescent="0.3">
      <c r="A6" s="12"/>
      <c r="B6" s="13"/>
      <c r="C6" s="14" t="s">
        <v>24</v>
      </c>
      <c r="D6" s="15">
        <v>0</v>
      </c>
      <c r="E6" s="16"/>
      <c r="F6" s="17"/>
      <c r="G6" s="18"/>
      <c r="H6" s="19"/>
      <c r="I6" s="20" t="s">
        <v>25</v>
      </c>
      <c r="J6" s="21">
        <v>60</v>
      </c>
      <c r="K6" s="11"/>
      <c r="L6" s="26" t="s">
        <v>26</v>
      </c>
      <c r="M6" s="27">
        <v>200</v>
      </c>
      <c r="N6" s="11"/>
      <c r="O6" s="11"/>
    </row>
    <row r="7" spans="1:21" ht="15.75" thickBot="1" x14ac:dyDescent="0.3">
      <c r="A7" s="12"/>
      <c r="B7" s="13"/>
      <c r="C7" s="14"/>
      <c r="D7" s="15"/>
      <c r="E7" s="16"/>
      <c r="F7" s="17"/>
      <c r="G7" s="18"/>
      <c r="H7" s="19"/>
      <c r="I7" s="20" t="s">
        <v>27</v>
      </c>
      <c r="J7" s="21">
        <v>72.66</v>
      </c>
      <c r="K7" s="11"/>
      <c r="L7" s="11"/>
      <c r="M7" s="11"/>
      <c r="N7" s="11"/>
      <c r="O7" s="11"/>
    </row>
    <row r="8" spans="1:21" x14ac:dyDescent="0.25">
      <c r="A8" s="12"/>
      <c r="B8" s="13"/>
      <c r="C8" s="14"/>
      <c r="D8" s="15"/>
      <c r="E8" s="16"/>
      <c r="F8" s="17"/>
      <c r="G8" s="18"/>
      <c r="H8" s="19"/>
      <c r="I8" s="20" t="s">
        <v>28</v>
      </c>
      <c r="J8" s="21">
        <v>39.24</v>
      </c>
      <c r="K8" s="11"/>
      <c r="L8" s="22"/>
      <c r="M8" s="23" t="s">
        <v>10</v>
      </c>
      <c r="N8" s="11"/>
      <c r="O8" s="11"/>
    </row>
    <row r="9" spans="1:21" x14ac:dyDescent="0.25">
      <c r="A9" s="12"/>
      <c r="B9" s="13"/>
      <c r="C9" s="14"/>
      <c r="D9" s="15"/>
      <c r="E9" s="16"/>
      <c r="F9" s="17"/>
      <c r="G9" s="18"/>
      <c r="H9" s="19"/>
      <c r="I9" s="20" t="s">
        <v>29</v>
      </c>
      <c r="J9" s="21">
        <v>184.78</v>
      </c>
      <c r="K9" s="11"/>
      <c r="L9" s="24"/>
      <c r="M9" s="25" t="s">
        <v>30</v>
      </c>
      <c r="N9" s="11"/>
      <c r="O9" s="11"/>
      <c r="P9" s="28"/>
    </row>
    <row r="10" spans="1:21" x14ac:dyDescent="0.25">
      <c r="A10" s="12"/>
      <c r="B10" s="13"/>
      <c r="C10" s="14"/>
      <c r="D10" s="15"/>
      <c r="E10" s="16"/>
      <c r="F10" s="17"/>
      <c r="G10" s="18"/>
      <c r="H10" s="19"/>
      <c r="I10" s="20" t="s">
        <v>31</v>
      </c>
      <c r="J10" s="21">
        <v>40</v>
      </c>
      <c r="K10" s="11"/>
      <c r="L10" s="24" t="s">
        <v>19</v>
      </c>
      <c r="M10" s="25">
        <v>468</v>
      </c>
      <c r="N10" s="11"/>
      <c r="O10" s="11"/>
    </row>
    <row r="11" spans="1:21" x14ac:dyDescent="0.25">
      <c r="A11" s="12"/>
      <c r="B11" s="13"/>
      <c r="C11" s="14"/>
      <c r="D11" s="15"/>
      <c r="E11" s="16"/>
      <c r="F11" s="17"/>
      <c r="G11" s="18"/>
      <c r="H11" s="19"/>
      <c r="I11" s="20" t="s">
        <v>32</v>
      </c>
      <c r="J11" s="21">
        <v>70</v>
      </c>
      <c r="K11" s="11"/>
      <c r="L11" s="24" t="s">
        <v>23</v>
      </c>
      <c r="M11" s="25">
        <v>468</v>
      </c>
      <c r="N11" s="11"/>
      <c r="O11" s="11"/>
    </row>
    <row r="12" spans="1:21" ht="15.75" thickBot="1" x14ac:dyDescent="0.3">
      <c r="A12" s="12"/>
      <c r="B12" s="13"/>
      <c r="C12" s="14"/>
      <c r="D12" s="15"/>
      <c r="E12" s="16"/>
      <c r="F12" s="17"/>
      <c r="G12" s="18"/>
      <c r="H12" s="19"/>
      <c r="I12" s="20" t="s">
        <v>33</v>
      </c>
      <c r="J12" s="21">
        <v>10.93</v>
      </c>
      <c r="K12" s="11"/>
      <c r="L12" s="26" t="s">
        <v>26</v>
      </c>
      <c r="M12" s="27">
        <v>200</v>
      </c>
      <c r="N12" s="11"/>
      <c r="O12" s="11"/>
    </row>
    <row r="13" spans="1:21" x14ac:dyDescent="0.25">
      <c r="A13" s="12"/>
      <c r="B13" s="13"/>
      <c r="C13" s="14"/>
      <c r="D13" s="15"/>
      <c r="E13" s="16"/>
      <c r="F13" s="17"/>
      <c r="G13" s="18"/>
      <c r="H13" s="19"/>
      <c r="I13" s="29" t="s">
        <v>39</v>
      </c>
      <c r="J13" s="21">
        <v>32</v>
      </c>
      <c r="K13" s="11"/>
      <c r="L13" s="11"/>
      <c r="M13" s="11"/>
      <c r="N13" s="11"/>
      <c r="O13" s="11"/>
    </row>
    <row r="14" spans="1:21" ht="15.75" thickBot="1" x14ac:dyDescent="0.3">
      <c r="A14" s="30"/>
      <c r="B14" s="31"/>
      <c r="C14" s="32"/>
      <c r="D14" s="33"/>
      <c r="E14" s="34"/>
      <c r="F14" s="35"/>
      <c r="G14" s="36"/>
      <c r="H14" s="37"/>
      <c r="I14" s="29" t="s">
        <v>397</v>
      </c>
      <c r="J14" s="21">
        <v>20.95</v>
      </c>
      <c r="K14" s="11"/>
      <c r="L14" s="11"/>
      <c r="O14" s="11"/>
      <c r="R14" s="11"/>
      <c r="S14" s="11"/>
      <c r="T14" s="11"/>
    </row>
    <row r="15" spans="1:21" ht="15.75" thickBot="1" x14ac:dyDescent="0.3">
      <c r="A15" s="38" t="s">
        <v>35</v>
      </c>
      <c r="B15" s="39">
        <f>SUM(B2:B14)</f>
        <v>0</v>
      </c>
      <c r="C15" s="38" t="s">
        <v>34</v>
      </c>
      <c r="D15" s="39">
        <f>SUM(D2:D14)</f>
        <v>4290</v>
      </c>
      <c r="E15" s="38" t="s">
        <v>34</v>
      </c>
      <c r="F15" s="40">
        <f>SUM(F2:F14)</f>
        <v>664.2</v>
      </c>
      <c r="G15" s="38" t="s">
        <v>36</v>
      </c>
      <c r="H15" s="41">
        <f>H2+H3+H4+H5+H6+H7+H8</f>
        <v>0</v>
      </c>
      <c r="I15" s="29" t="s">
        <v>377</v>
      </c>
      <c r="J15" s="21">
        <v>22</v>
      </c>
      <c r="K15" s="11"/>
      <c r="L15" s="11"/>
      <c r="R15" s="11"/>
      <c r="S15" s="11"/>
      <c r="T15" s="11"/>
      <c r="U15" s="28"/>
    </row>
    <row r="16" spans="1:21" ht="15.75" thickBot="1" x14ac:dyDescent="0.3">
      <c r="A16" s="11"/>
      <c r="B16" s="11"/>
      <c r="C16" s="11"/>
      <c r="D16" s="11"/>
      <c r="E16" s="11"/>
      <c r="F16" s="11"/>
      <c r="G16" s="11"/>
      <c r="H16" s="11"/>
      <c r="I16" s="29" t="s">
        <v>395</v>
      </c>
      <c r="J16" s="21">
        <v>25</v>
      </c>
      <c r="K16" s="11"/>
      <c r="L16" s="11"/>
      <c r="R16" s="11"/>
      <c r="S16" s="11"/>
      <c r="T16" s="11"/>
    </row>
    <row r="17" spans="1:21" x14ac:dyDescent="0.25">
      <c r="A17" s="42" t="s">
        <v>38</v>
      </c>
      <c r="B17" s="43"/>
      <c r="C17" s="44">
        <f>D15</f>
        <v>4290</v>
      </c>
      <c r="D17" s="45">
        <f>(D15*1.02)+125</f>
        <v>4500.8</v>
      </c>
      <c r="E17" s="45">
        <f>(D17*1.02)+125</f>
        <v>4715.8160000000007</v>
      </c>
      <c r="F17" s="11"/>
      <c r="G17" s="11"/>
      <c r="H17" s="11"/>
      <c r="I17" s="29"/>
      <c r="J17" s="21"/>
      <c r="K17" s="11"/>
      <c r="L17" s="11"/>
      <c r="R17" s="11"/>
      <c r="S17" s="11"/>
      <c r="T17" s="11"/>
    </row>
    <row r="18" spans="1:21" x14ac:dyDescent="0.25">
      <c r="A18" s="46"/>
      <c r="B18" s="47"/>
      <c r="C18" s="48"/>
      <c r="D18" s="49"/>
      <c r="E18" s="49"/>
      <c r="F18" s="11"/>
      <c r="G18" s="11"/>
      <c r="H18" s="11"/>
      <c r="I18" s="29"/>
      <c r="J18" s="21"/>
      <c r="K18" s="11"/>
      <c r="L18" s="11"/>
      <c r="R18" s="11"/>
      <c r="S18" s="11"/>
      <c r="T18" s="11"/>
      <c r="U18" s="28"/>
    </row>
    <row r="19" spans="1:21" x14ac:dyDescent="0.25">
      <c r="A19" s="46" t="s">
        <v>40</v>
      </c>
      <c r="B19" s="47"/>
      <c r="C19" s="48">
        <f>F15+J36+J22</f>
        <v>4320.6099999999988</v>
      </c>
      <c r="D19" s="49">
        <f>F15+J36+J22</f>
        <v>4320.6099999999988</v>
      </c>
      <c r="E19" s="49">
        <f>F15+J36+J22</f>
        <v>4320.6099999999988</v>
      </c>
      <c r="F19" s="11"/>
      <c r="G19" s="11"/>
      <c r="H19" s="11"/>
      <c r="I19" s="29"/>
      <c r="J19" s="21"/>
      <c r="K19" s="11"/>
      <c r="L19" s="21">
        <v>40</v>
      </c>
      <c r="R19" s="11"/>
      <c r="S19" s="11"/>
      <c r="T19" s="11"/>
    </row>
    <row r="20" spans="1:21" x14ac:dyDescent="0.25">
      <c r="A20" s="46"/>
      <c r="B20" s="47"/>
      <c r="C20" s="48"/>
      <c r="D20" s="49"/>
      <c r="E20" s="49"/>
      <c r="F20" s="11"/>
      <c r="G20" s="11"/>
      <c r="H20" s="11"/>
      <c r="I20" s="29"/>
      <c r="J20" s="21"/>
      <c r="L20" s="21">
        <v>70</v>
      </c>
      <c r="R20" s="11"/>
      <c r="S20" s="11"/>
      <c r="T20" s="11"/>
    </row>
    <row r="21" spans="1:21" ht="15.75" thickBot="1" x14ac:dyDescent="0.3">
      <c r="A21" s="50" t="s">
        <v>41</v>
      </c>
      <c r="B21" s="51"/>
      <c r="C21" s="52">
        <f>C17-C19</f>
        <v>-30.609999999998763</v>
      </c>
      <c r="D21" s="53">
        <f>D17-D19</f>
        <v>180.19000000000142</v>
      </c>
      <c r="E21" s="53">
        <f t="shared" ref="E21" si="0">E17-E19</f>
        <v>395.20600000000195</v>
      </c>
      <c r="F21" s="11"/>
      <c r="G21" s="11" t="s">
        <v>70</v>
      </c>
      <c r="H21" s="11">
        <v>8774</v>
      </c>
      <c r="I21" s="54"/>
      <c r="J21" s="55"/>
      <c r="R21" s="11"/>
      <c r="S21" s="11"/>
      <c r="T21" s="11"/>
      <c r="U21" s="28"/>
    </row>
    <row r="22" spans="1:21" ht="15.75" thickBot="1" x14ac:dyDescent="0.3">
      <c r="A22" s="11"/>
      <c r="B22" s="11"/>
      <c r="C22" s="56"/>
      <c r="D22" s="56"/>
      <c r="E22" s="56"/>
      <c r="F22" s="11"/>
      <c r="G22" s="11"/>
      <c r="H22" s="11"/>
      <c r="I22" s="38" t="s">
        <v>42</v>
      </c>
      <c r="J22" s="57">
        <f>SUM(J2:J21)</f>
        <v>2159.9099999999994</v>
      </c>
      <c r="K22" s="11"/>
      <c r="L22" s="11"/>
      <c r="R22" s="11"/>
      <c r="S22" s="11"/>
      <c r="T22" s="11"/>
    </row>
    <row r="23" spans="1:21" ht="15.75" thickBot="1" x14ac:dyDescent="0.3">
      <c r="A23" s="11"/>
      <c r="B23" s="11"/>
      <c r="C23" s="58"/>
      <c r="D23" s="11"/>
      <c r="E23" s="56"/>
      <c r="F23" s="11"/>
      <c r="G23" s="11"/>
      <c r="H23" s="11"/>
      <c r="I23" s="11"/>
      <c r="J23" s="11"/>
      <c r="K23" s="11"/>
      <c r="L23" s="11"/>
      <c r="R23" s="11"/>
      <c r="S23" s="11"/>
      <c r="T23" s="11"/>
    </row>
    <row r="24" spans="1:21" x14ac:dyDescent="0.25">
      <c r="A24" s="59" t="s">
        <v>43</v>
      </c>
      <c r="B24" s="45"/>
      <c r="C24" s="60">
        <v>6219</v>
      </c>
      <c r="D24" s="61">
        <v>6343.38</v>
      </c>
      <c r="E24" s="61">
        <v>6470.2</v>
      </c>
      <c r="F24" s="11"/>
      <c r="G24" s="11"/>
      <c r="H24" s="11"/>
      <c r="I24" s="62" t="s">
        <v>44</v>
      </c>
      <c r="J24" s="63">
        <v>80</v>
      </c>
      <c r="K24" s="11"/>
      <c r="L24" s="11"/>
      <c r="R24" s="11"/>
      <c r="S24" s="11"/>
      <c r="T24" s="11"/>
      <c r="U24" s="28"/>
    </row>
    <row r="25" spans="1:21" x14ac:dyDescent="0.25">
      <c r="A25" s="64" t="s">
        <v>45</v>
      </c>
      <c r="B25" s="49"/>
      <c r="C25" s="65">
        <f>3537.99</f>
        <v>3537.99</v>
      </c>
      <c r="D25" s="64">
        <f>D17</f>
        <v>4500.8</v>
      </c>
      <c r="E25" s="64">
        <f>E17</f>
        <v>4715.8160000000007</v>
      </c>
      <c r="F25" s="11"/>
      <c r="G25" s="11"/>
      <c r="H25" s="11"/>
      <c r="I25" s="66" t="s">
        <v>46</v>
      </c>
      <c r="J25" s="67">
        <v>0</v>
      </c>
      <c r="K25" s="11"/>
      <c r="L25" s="11"/>
      <c r="R25" s="11"/>
      <c r="S25" s="11"/>
      <c r="T25" s="11"/>
    </row>
    <row r="26" spans="1:21" ht="15.75" thickBot="1" x14ac:dyDescent="0.3">
      <c r="A26" s="64" t="s">
        <v>47</v>
      </c>
      <c r="B26" s="49"/>
      <c r="C26" s="65">
        <f>C24-C25</f>
        <v>2681.01</v>
      </c>
      <c r="D26" s="64">
        <f>D24-D25</f>
        <v>1842.58</v>
      </c>
      <c r="E26" s="64">
        <f t="shared" ref="E26" si="1">E24-E25</f>
        <v>1754.3839999999991</v>
      </c>
      <c r="F26" s="11"/>
      <c r="G26" s="11"/>
      <c r="H26" s="11"/>
      <c r="I26" s="66" t="s">
        <v>48</v>
      </c>
      <c r="J26" s="67">
        <v>600</v>
      </c>
      <c r="K26" s="11"/>
      <c r="L26" s="11"/>
      <c r="R26" s="11"/>
      <c r="S26" s="11"/>
      <c r="T26" s="11"/>
    </row>
    <row r="27" spans="1:21" ht="15.75" thickBot="1" x14ac:dyDescent="0.3">
      <c r="A27" s="68" t="s">
        <v>49</v>
      </c>
      <c r="B27" s="69"/>
      <c r="C27" s="70">
        <v>2539.41</v>
      </c>
      <c r="D27" s="71">
        <v>2700</v>
      </c>
      <c r="E27" s="71">
        <v>2900</v>
      </c>
      <c r="F27" s="56"/>
      <c r="G27" s="56"/>
      <c r="H27" s="56"/>
      <c r="I27" s="150"/>
      <c r="J27" s="151"/>
      <c r="K27" s="11"/>
      <c r="R27" s="11"/>
      <c r="S27" s="11"/>
      <c r="T27" s="11"/>
      <c r="U27" s="28"/>
    </row>
    <row r="28" spans="1:21" ht="15.75" thickBot="1" x14ac:dyDescent="0.3">
      <c r="A28" s="64" t="s">
        <v>50</v>
      </c>
      <c r="B28" s="59"/>
      <c r="C28" s="65"/>
      <c r="D28" s="64">
        <f>D25-$C25</f>
        <v>962.8100000000004</v>
      </c>
      <c r="E28" s="64">
        <f>E25-$D25</f>
        <v>215.01600000000053</v>
      </c>
      <c r="F28" s="56"/>
      <c r="G28" s="56"/>
      <c r="H28" s="56"/>
      <c r="I28" s="152"/>
      <c r="J28" s="153"/>
      <c r="K28" s="11"/>
      <c r="R28" s="11"/>
      <c r="S28" s="11"/>
      <c r="T28" s="11"/>
    </row>
    <row r="29" spans="1:21" ht="15.75" thickBot="1" x14ac:dyDescent="0.3">
      <c r="A29" s="68" t="s">
        <v>51</v>
      </c>
      <c r="B29" s="68"/>
      <c r="C29" s="70">
        <f>D3</f>
        <v>550</v>
      </c>
      <c r="D29" s="70">
        <f>D3</f>
        <v>550</v>
      </c>
      <c r="E29" s="70">
        <f>D3</f>
        <v>550</v>
      </c>
      <c r="F29" s="56"/>
      <c r="G29" s="56"/>
      <c r="H29" s="56"/>
      <c r="I29" s="74"/>
      <c r="J29" s="75"/>
      <c r="K29" s="11">
        <v>214</v>
      </c>
      <c r="L29">
        <v>3</v>
      </c>
      <c r="R29" s="11"/>
      <c r="S29" s="11"/>
      <c r="T29" s="11"/>
    </row>
    <row r="30" spans="1:21" ht="15.75" thickBot="1" x14ac:dyDescent="0.3">
      <c r="A30" s="68" t="s">
        <v>53</v>
      </c>
      <c r="B30" s="68"/>
      <c r="C30" s="70">
        <v>1000</v>
      </c>
      <c r="D30" s="76">
        <v>1000</v>
      </c>
      <c r="E30" s="68">
        <v>1000</v>
      </c>
      <c r="F30" s="56"/>
      <c r="G30" s="56"/>
      <c r="H30" s="56"/>
      <c r="I30" s="74" t="s">
        <v>71</v>
      </c>
      <c r="J30" s="75">
        <f>6.5+5+5</f>
        <v>16.5</v>
      </c>
      <c r="K30" s="11"/>
      <c r="R30" s="11"/>
      <c r="S30" s="11"/>
      <c r="T30" s="11"/>
      <c r="U30" s="28"/>
    </row>
    <row r="31" spans="1:21" ht="15.75" thickBot="1" x14ac:dyDescent="0.3">
      <c r="A31" s="68" t="s">
        <v>54</v>
      </c>
      <c r="B31" s="68"/>
      <c r="C31" s="70">
        <v>605</v>
      </c>
      <c r="D31" s="71">
        <v>605</v>
      </c>
      <c r="E31" s="71">
        <v>605</v>
      </c>
      <c r="F31" s="56"/>
      <c r="G31" s="56"/>
      <c r="H31" s="56"/>
      <c r="I31" s="74" t="s">
        <v>55</v>
      </c>
      <c r="J31" s="75">
        <v>350</v>
      </c>
      <c r="K31" s="11">
        <f>J31+J32</f>
        <v>800</v>
      </c>
      <c r="L31">
        <f>J31*12</f>
        <v>4200</v>
      </c>
      <c r="R31" s="11"/>
      <c r="S31" s="11"/>
      <c r="T31" s="11"/>
    </row>
    <row r="32" spans="1:21" ht="15.75" thickBot="1" x14ac:dyDescent="0.3">
      <c r="A32" s="68" t="s">
        <v>56</v>
      </c>
      <c r="B32" s="68"/>
      <c r="C32" s="70">
        <v>77550</v>
      </c>
      <c r="D32" s="70">
        <v>79101</v>
      </c>
      <c r="E32" s="70">
        <v>80683.02</v>
      </c>
      <c r="F32" s="56"/>
      <c r="G32" s="56"/>
      <c r="H32" s="56"/>
      <c r="I32" s="74" t="s">
        <v>57</v>
      </c>
      <c r="J32" s="75">
        <v>450</v>
      </c>
      <c r="K32" s="11">
        <v>500</v>
      </c>
      <c r="R32" s="11"/>
      <c r="S32" s="11"/>
      <c r="T32" s="11"/>
    </row>
    <row r="33" spans="1:21" ht="15.75" thickBot="1" x14ac:dyDescent="0.3">
      <c r="A33" s="68" t="s">
        <v>58</v>
      </c>
      <c r="B33" s="68"/>
      <c r="C33" s="70">
        <v>25708</v>
      </c>
      <c r="D33" s="68">
        <v>26221</v>
      </c>
      <c r="E33" s="68">
        <v>26746</v>
      </c>
      <c r="F33" s="56"/>
      <c r="G33" s="56"/>
      <c r="H33" s="56"/>
      <c r="I33" s="74"/>
      <c r="J33" s="75"/>
      <c r="K33" s="11"/>
      <c r="L33">
        <f>J32*12</f>
        <v>5400</v>
      </c>
      <c r="M33">
        <f>50000/(L33+L31)</f>
        <v>5.208333333333333</v>
      </c>
      <c r="R33" s="11"/>
      <c r="S33" s="11"/>
      <c r="T33" s="11"/>
      <c r="U33" s="28"/>
    </row>
    <row r="34" spans="1:21" x14ac:dyDescent="0.25">
      <c r="A34" s="59" t="s">
        <v>60</v>
      </c>
      <c r="B34" s="59"/>
      <c r="C34" s="77">
        <f t="shared" ref="C34:E34" si="2">C32</f>
        <v>77550</v>
      </c>
      <c r="D34" s="59">
        <f t="shared" si="2"/>
        <v>79101</v>
      </c>
      <c r="E34" s="59">
        <f t="shared" si="2"/>
        <v>80683.02</v>
      </c>
      <c r="F34" s="56"/>
      <c r="G34" s="56"/>
      <c r="H34" s="56"/>
      <c r="I34" s="74"/>
      <c r="J34" s="75"/>
      <c r="K34" s="149">
        <f>'[1]JB 2025 December'!$J$34</f>
        <v>384.31666666666666</v>
      </c>
      <c r="R34" s="11"/>
      <c r="S34" s="11"/>
      <c r="T34" s="11"/>
    </row>
    <row r="35" spans="1:21" ht="15.75" thickBot="1" x14ac:dyDescent="0.3">
      <c r="A35" s="64" t="s">
        <v>61</v>
      </c>
      <c r="B35" s="64"/>
      <c r="C35" s="65">
        <f>(J2*12)-(C29*12)</f>
        <v>8473.0799999999981</v>
      </c>
      <c r="D35" s="65">
        <f>J2*12</f>
        <v>15073.079999999998</v>
      </c>
      <c r="E35" s="65">
        <f>J2*12</f>
        <v>15073.079999999998</v>
      </c>
      <c r="F35" s="56"/>
      <c r="G35" s="11"/>
      <c r="H35" s="11"/>
      <c r="I35" s="78"/>
      <c r="J35" s="79"/>
      <c r="K35" s="11"/>
      <c r="R35" s="11"/>
      <c r="S35" s="11"/>
      <c r="T35" s="11"/>
    </row>
    <row r="36" spans="1:21" ht="15.75" thickBot="1" x14ac:dyDescent="0.3">
      <c r="A36" s="80" t="s">
        <v>62</v>
      </c>
      <c r="B36" s="80"/>
      <c r="C36" s="81">
        <f>C32-C33</f>
        <v>51842</v>
      </c>
      <c r="D36" s="81">
        <f t="shared" ref="D36:E36" si="3">D32-D33</f>
        <v>52880</v>
      </c>
      <c r="E36" s="81">
        <f t="shared" si="3"/>
        <v>53937.020000000004</v>
      </c>
      <c r="F36" s="56"/>
      <c r="G36" s="11"/>
      <c r="H36" s="11"/>
      <c r="I36" s="50" t="s">
        <v>42</v>
      </c>
      <c r="J36" s="82">
        <f>SUM(J24:J35)</f>
        <v>1496.5</v>
      </c>
      <c r="K36" s="11"/>
      <c r="R36" s="11"/>
      <c r="S36" s="11"/>
      <c r="T36" s="11"/>
      <c r="U36" s="28"/>
    </row>
    <row r="37" spans="1:21" ht="15.75" thickBot="1" x14ac:dyDescent="0.3">
      <c r="A37" s="11"/>
      <c r="B37" s="11"/>
      <c r="C37" s="11"/>
      <c r="D37" s="11"/>
      <c r="E37" s="11"/>
      <c r="F37" s="56"/>
      <c r="G37" s="11"/>
      <c r="H37" s="11"/>
      <c r="I37" s="38" t="s">
        <v>63</v>
      </c>
      <c r="J37" s="83">
        <f>J22+J36</f>
        <v>3656.4099999999994</v>
      </c>
      <c r="K37" s="11"/>
      <c r="L37" s="11"/>
      <c r="M37" s="11"/>
      <c r="N37" s="11"/>
      <c r="R37" s="11"/>
      <c r="S37" s="11"/>
      <c r="T37" s="11"/>
    </row>
    <row r="38" spans="1:21" x14ac:dyDescent="0.25"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21" ht="15.75" thickBot="1" x14ac:dyDescent="0.3"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21" x14ac:dyDescent="0.25">
      <c r="A40" s="59" t="s">
        <v>43</v>
      </c>
      <c r="B40" s="60">
        <f>C24</f>
        <v>6219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21" x14ac:dyDescent="0.25">
      <c r="A41" s="64" t="s">
        <v>45</v>
      </c>
      <c r="B41" s="65">
        <f>C24*0.5998</f>
        <v>3730.1561999999999</v>
      </c>
      <c r="C41" s="11"/>
      <c r="D41" s="11"/>
      <c r="E41" s="11"/>
      <c r="F41" s="11"/>
      <c r="G41" s="11"/>
      <c r="I41" s="11"/>
      <c r="J41" s="11"/>
      <c r="K41" s="11"/>
      <c r="L41" s="11"/>
    </row>
    <row r="42" spans="1:21" ht="15.75" thickBot="1" x14ac:dyDescent="0.3">
      <c r="A42" s="64" t="s">
        <v>47</v>
      </c>
      <c r="B42" s="65">
        <f>B40-B41</f>
        <v>2488.8438000000001</v>
      </c>
      <c r="C42" s="11"/>
      <c r="D42" s="11"/>
      <c r="E42" s="11"/>
      <c r="F42" s="11"/>
      <c r="H42" s="11"/>
      <c r="I42" s="11"/>
      <c r="J42" s="11"/>
      <c r="K42" s="11"/>
      <c r="L42" s="11"/>
      <c r="M42" s="11"/>
      <c r="N42" s="11"/>
      <c r="O42" s="11"/>
    </row>
    <row r="43" spans="1:21" ht="15.75" thickBot="1" x14ac:dyDescent="0.3">
      <c r="A43" s="68" t="s">
        <v>64</v>
      </c>
      <c r="B43" s="70">
        <f>((B40-B47)*12)/100*8</f>
        <v>5389.44</v>
      </c>
      <c r="C43" s="11"/>
      <c r="D43" s="11"/>
      <c r="E43" s="11"/>
      <c r="F43" s="11"/>
      <c r="H43" s="11"/>
      <c r="J43" s="11"/>
      <c r="K43" s="11"/>
      <c r="L43" s="11"/>
      <c r="M43" s="11"/>
      <c r="N43" s="11"/>
      <c r="O43" s="11"/>
    </row>
    <row r="44" spans="1:21" ht="15.75" thickBot="1" x14ac:dyDescent="0.3">
      <c r="A44" s="64" t="s">
        <v>65</v>
      </c>
      <c r="B44" s="65">
        <f>C25-B25</f>
        <v>3537.99</v>
      </c>
      <c r="C44" s="11"/>
      <c r="D44" s="11"/>
      <c r="E44" s="11"/>
      <c r="F44" s="11"/>
      <c r="G44" s="11"/>
      <c r="H44" s="11"/>
      <c r="J44" s="11"/>
      <c r="K44" s="11"/>
      <c r="L44" s="11"/>
      <c r="M44" s="11"/>
      <c r="N44" s="11"/>
      <c r="O44" s="11"/>
    </row>
    <row r="45" spans="1:21" ht="15.75" thickBot="1" x14ac:dyDescent="0.3">
      <c r="A45" s="68" t="s">
        <v>66</v>
      </c>
      <c r="B45" s="70">
        <f>C29</f>
        <v>550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21" ht="15.75" thickBot="1" x14ac:dyDescent="0.3">
      <c r="A46" s="68" t="s">
        <v>53</v>
      </c>
      <c r="B46" s="70">
        <v>1000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21" ht="15.75" thickBot="1" x14ac:dyDescent="0.3">
      <c r="A47" s="64" t="s">
        <v>54</v>
      </c>
      <c r="B47" s="70">
        <f>C31</f>
        <v>605</v>
      </c>
      <c r="C47" s="11"/>
      <c r="D47" s="11"/>
      <c r="E47" s="11"/>
      <c r="F47" s="11"/>
      <c r="G47" s="11"/>
      <c r="H47" s="11"/>
      <c r="I47" s="11"/>
      <c r="J47" s="11"/>
      <c r="L47" s="11"/>
      <c r="M47" s="11"/>
      <c r="N47" s="11"/>
      <c r="O47" s="11"/>
    </row>
    <row r="48" spans="1:21" ht="15.75" thickBot="1" x14ac:dyDescent="0.3">
      <c r="A48" s="68" t="s">
        <v>67</v>
      </c>
      <c r="B48" s="70">
        <f>B40*12+B43+B46</f>
        <v>81017.440000000002</v>
      </c>
      <c r="C48" s="11"/>
      <c r="D48" s="11"/>
      <c r="E48" s="11"/>
      <c r="F48" s="11"/>
      <c r="G48" s="11"/>
      <c r="H48" s="11"/>
      <c r="I48" s="11"/>
      <c r="K48" s="11"/>
      <c r="L48" s="11"/>
      <c r="M48" s="11"/>
      <c r="N48" s="11"/>
      <c r="O48" s="11"/>
    </row>
    <row r="49" spans="1:15" ht="15.75" thickBot="1" x14ac:dyDescent="0.3">
      <c r="A49" s="68" t="s">
        <v>58</v>
      </c>
      <c r="B49" s="70">
        <f>B40</f>
        <v>6219</v>
      </c>
      <c r="C49" s="11"/>
      <c r="D49" s="11"/>
      <c r="E49" s="11"/>
      <c r="F49" s="11"/>
      <c r="G49" s="11"/>
      <c r="H49" s="11"/>
      <c r="I49" s="11"/>
      <c r="K49" s="11"/>
      <c r="L49" s="11"/>
      <c r="M49" s="11"/>
      <c r="N49" s="11"/>
      <c r="O49" s="11"/>
    </row>
    <row r="50" spans="1:15" x14ac:dyDescent="0.25">
      <c r="A50" s="59" t="s">
        <v>60</v>
      </c>
      <c r="B50" s="77">
        <f>B48</f>
        <v>81017.440000000002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25">
      <c r="A51" s="64" t="s">
        <v>68</v>
      </c>
      <c r="B51" s="65">
        <v>224787</v>
      </c>
      <c r="C51" s="11"/>
      <c r="D51" s="11"/>
      <c r="E51" s="11"/>
      <c r="F51" s="11"/>
      <c r="G51" s="11"/>
      <c r="I51" s="11"/>
      <c r="J51" s="11"/>
      <c r="K51" s="11"/>
      <c r="L51" s="11"/>
      <c r="M51" s="11"/>
      <c r="N51" s="11"/>
      <c r="O51" s="11"/>
    </row>
    <row r="52" spans="1:15" ht="15.75" thickBot="1" x14ac:dyDescent="0.3">
      <c r="A52" s="80" t="s">
        <v>69</v>
      </c>
      <c r="B52" s="81">
        <v>448947</v>
      </c>
      <c r="C52" s="11"/>
      <c r="D52" s="11"/>
      <c r="E52" s="11"/>
      <c r="F52" s="11"/>
      <c r="H52" s="11"/>
      <c r="I52" s="11"/>
      <c r="J52" s="11"/>
      <c r="K52" s="11"/>
      <c r="L52" s="11"/>
      <c r="M52" s="11"/>
      <c r="N52" s="11"/>
      <c r="O52" s="11"/>
    </row>
    <row r="53" spans="1:15" ht="15.75" thickBot="1" x14ac:dyDescent="0.3">
      <c r="A53" s="46" t="s">
        <v>40</v>
      </c>
      <c r="B53" s="84" t="e">
        <f>#REF!+F15+J36+J22</f>
        <v>#REF!</v>
      </c>
      <c r="C53" s="11"/>
      <c r="D53" s="11"/>
      <c r="E53" s="11"/>
      <c r="F53" s="11"/>
      <c r="H53" s="11"/>
      <c r="I53" s="11"/>
      <c r="L53" s="11"/>
      <c r="M53" s="11"/>
      <c r="N53" s="11"/>
      <c r="O53" s="11"/>
    </row>
    <row r="54" spans="1:15" ht="15.75" thickBot="1" x14ac:dyDescent="0.3">
      <c r="A54" s="38" t="s">
        <v>38</v>
      </c>
      <c r="B54" s="85">
        <f>C25+B15+H5</f>
        <v>3537.99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  <c r="M55" s="11"/>
      <c r="N55" s="11"/>
      <c r="O55" s="11"/>
    </row>
    <row r="56" spans="1:15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x14ac:dyDescent="0.25">
      <c r="A57" s="11"/>
      <c r="B57" s="11"/>
      <c r="C57" s="11"/>
      <c r="D57" s="11"/>
      <c r="E57" s="11"/>
      <c r="F57" s="11"/>
      <c r="I57" s="11"/>
      <c r="J57" s="11"/>
      <c r="K57" s="11"/>
      <c r="L57" s="11"/>
      <c r="M57" s="11"/>
      <c r="N57" s="11"/>
      <c r="O57" s="11"/>
    </row>
    <row r="58" spans="1:15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13</vt:i4>
      </vt:variant>
      <vt:variant>
        <vt:lpstr>Grafieken</vt:lpstr>
      </vt:variant>
      <vt:variant>
        <vt:i4>1</vt:i4>
      </vt:variant>
    </vt:vector>
  </HeadingPairs>
  <TitlesOfParts>
    <vt:vector size="14" baseType="lpstr">
      <vt:lpstr>Sal-div</vt:lpstr>
      <vt:lpstr>Rente tabel hypotheek</vt:lpstr>
      <vt:lpstr>Stroom en Gas</vt:lpstr>
      <vt:lpstr>Loonstijging 2021-2030</vt:lpstr>
      <vt:lpstr>Grafieken</vt:lpstr>
      <vt:lpstr>extra hypotheek</vt:lpstr>
      <vt:lpstr>Basistabel hoger loon</vt:lpstr>
      <vt:lpstr>Basistabel</vt:lpstr>
      <vt:lpstr>Zonneplan berekeningen</vt:lpstr>
      <vt:lpstr>Offertes</vt:lpstr>
      <vt:lpstr>januari</vt:lpstr>
      <vt:lpstr>Februari</vt:lpstr>
      <vt:lpstr>Maart</vt:lpstr>
      <vt:lpstr>Grafiek1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Boon</dc:creator>
  <cp:lastModifiedBy>Joshua Boon</cp:lastModifiedBy>
  <dcterms:created xsi:type="dcterms:W3CDTF">2025-09-06T19:47:18Z</dcterms:created>
  <dcterms:modified xsi:type="dcterms:W3CDTF">2026-07-04T19:36:23Z</dcterms:modified>
</cp:coreProperties>
</file>